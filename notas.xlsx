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itorio\Universitaria_de_colombia\"/>
    </mc:Choice>
  </mc:AlternateContent>
  <xr:revisionPtr revIDLastSave="0" documentId="8_{6B4E0155-A99E-415F-911C-896BBAE4C3F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uebas_software" sheetId="1" r:id="rId1"/>
    <sheet name="Lenguajes_ultima_g" sheetId="2" r:id="rId2"/>
  </sheets>
  <definedNames>
    <definedName name="_xlnm._FilterDatabase" localSheetId="1" hidden="1">Lenguajes_ultima_g!$A$1:$AH$1</definedName>
    <definedName name="_xlnm._FilterDatabase" localSheetId="0" hidden="1">Pruebas_software!$A$1:$AI$1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 l="1"/>
  <c r="AG20" i="1"/>
  <c r="AG6" i="1"/>
  <c r="AG8" i="1"/>
  <c r="AG19" i="1"/>
  <c r="AH19" i="1" s="1"/>
  <c r="AG10" i="1"/>
  <c r="AH10" i="1" s="1"/>
  <c r="AG14" i="1"/>
  <c r="AH14" i="1" s="1"/>
  <c r="AG21" i="1"/>
  <c r="AH21" i="1" s="1"/>
  <c r="AG2" i="1"/>
  <c r="AH2" i="1" s="1"/>
  <c r="AG11" i="1"/>
  <c r="AH11" i="1" s="1"/>
  <c r="AG25" i="1"/>
  <c r="AH25" i="1" s="1"/>
  <c r="AG23" i="1"/>
  <c r="AH23" i="1" s="1"/>
  <c r="AG15" i="1"/>
  <c r="AG12" i="1"/>
  <c r="AG22" i="1"/>
  <c r="AG3" i="1"/>
  <c r="AH3" i="1" s="1"/>
  <c r="AG24" i="1"/>
  <c r="AH24" i="1" s="1"/>
  <c r="AG5" i="1"/>
  <c r="AH5" i="1" s="1"/>
  <c r="AG16" i="1"/>
  <c r="AG9" i="1"/>
  <c r="AH9" i="1" s="1"/>
  <c r="AG17" i="1"/>
  <c r="AH17" i="1" s="1"/>
  <c r="AG7" i="1"/>
  <c r="AG18" i="1"/>
  <c r="AG26" i="1"/>
  <c r="AH26" i="1" s="1"/>
  <c r="AG13" i="1"/>
  <c r="AE14" i="1"/>
  <c r="AE15" i="1"/>
  <c r="AE16" i="1"/>
  <c r="AE17" i="1"/>
  <c r="AE18" i="1"/>
  <c r="AE19" i="1"/>
  <c r="AE20" i="1"/>
  <c r="AE22" i="1"/>
  <c r="AE24" i="1"/>
  <c r="AE25" i="1"/>
  <c r="AE2" i="1"/>
  <c r="AE6" i="1"/>
  <c r="AE23" i="1"/>
  <c r="AE26" i="1"/>
  <c r="AE4" i="1"/>
  <c r="AE21" i="1"/>
  <c r="AE3" i="1"/>
  <c r="AE5" i="1"/>
  <c r="AE7" i="1"/>
  <c r="AE8" i="1"/>
  <c r="AE9" i="1"/>
  <c r="AE10" i="1"/>
  <c r="AE11" i="1"/>
  <c r="AE12" i="1"/>
  <c r="AB6" i="1"/>
  <c r="AB23" i="1"/>
  <c r="AB26" i="1"/>
  <c r="AB4" i="1"/>
  <c r="AB21" i="1"/>
  <c r="AB3" i="1"/>
  <c r="AB5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2" i="1"/>
  <c r="AB24" i="1"/>
  <c r="AB25" i="1"/>
  <c r="AH4" i="1"/>
  <c r="AH20" i="1"/>
  <c r="AH6" i="1"/>
  <c r="AH8" i="1"/>
  <c r="AH15" i="1"/>
  <c r="AH12" i="1"/>
  <c r="AH22" i="1"/>
  <c r="AH13" i="1"/>
  <c r="AD2" i="2"/>
  <c r="AD6" i="2"/>
  <c r="AD11" i="2"/>
  <c r="AD9" i="2"/>
  <c r="AD7" i="2"/>
  <c r="AD22" i="2"/>
  <c r="AD19" i="2"/>
  <c r="AD5" i="2"/>
  <c r="AD4" i="2"/>
  <c r="AD23" i="2"/>
  <c r="AD3" i="2"/>
  <c r="AD21" i="2"/>
  <c r="AD15" i="2"/>
  <c r="AD13" i="2"/>
  <c r="AD8" i="2"/>
  <c r="AD12" i="2"/>
  <c r="AD16" i="2"/>
  <c r="AD14" i="2"/>
  <c r="AD20" i="2"/>
  <c r="AD10" i="2"/>
  <c r="AD17" i="2"/>
  <c r="AA2" i="2"/>
  <c r="AA6" i="2"/>
  <c r="AA11" i="2"/>
  <c r="AA9" i="2"/>
  <c r="AA7" i="2"/>
  <c r="AA22" i="2"/>
  <c r="AA19" i="2"/>
  <c r="AA5" i="2"/>
  <c r="AA4" i="2"/>
  <c r="AA23" i="2"/>
  <c r="AA3" i="2"/>
  <c r="AA21" i="2"/>
  <c r="AA15" i="2"/>
  <c r="AA13" i="2"/>
  <c r="AA8" i="2"/>
  <c r="AA12" i="2"/>
  <c r="AA16" i="2"/>
  <c r="AA14" i="2"/>
  <c r="AA20" i="2"/>
  <c r="AA10" i="2"/>
  <c r="AA17" i="2"/>
  <c r="AD18" i="2"/>
  <c r="AA18" i="2"/>
  <c r="AE13" i="1"/>
  <c r="X17" i="2"/>
  <c r="X10" i="2"/>
  <c r="X20" i="2"/>
  <c r="X14" i="2"/>
  <c r="X16" i="2"/>
  <c r="X12" i="2"/>
  <c r="X8" i="2"/>
  <c r="X13" i="2"/>
  <c r="X15" i="2"/>
  <c r="X21" i="2"/>
  <c r="X3" i="2"/>
  <c r="X23" i="2"/>
  <c r="X4" i="2"/>
  <c r="X5" i="2"/>
  <c r="X19" i="2"/>
  <c r="X22" i="2"/>
  <c r="X7" i="2"/>
  <c r="X9" i="2"/>
  <c r="X11" i="2"/>
  <c r="X6" i="2"/>
  <c r="X2" i="2"/>
  <c r="X18" i="2"/>
  <c r="AI12" i="1" l="1"/>
  <c r="AI22" i="1"/>
  <c r="AI20" i="1"/>
  <c r="AI6" i="1"/>
  <c r="AH7" i="1"/>
  <c r="AH18" i="1"/>
  <c r="AH16" i="1"/>
  <c r="AI14" i="1"/>
  <c r="AI15" i="1"/>
  <c r="AI25" i="1"/>
  <c r="AI5" i="1"/>
  <c r="AI10" i="1"/>
  <c r="AI24" i="1"/>
  <c r="AI19" i="1"/>
  <c r="AI3" i="1"/>
  <c r="AI8" i="1"/>
  <c r="AI4" i="1"/>
  <c r="AF19" i="2"/>
  <c r="AG19" i="2" s="1"/>
  <c r="AH19" i="2" s="1"/>
  <c r="AF13" i="2"/>
  <c r="AG13" i="2" s="1"/>
  <c r="AH13" i="2" s="1"/>
  <c r="AF5" i="2"/>
  <c r="AG5" i="2" s="1"/>
  <c r="AH5" i="2" s="1"/>
  <c r="AF20" i="2"/>
  <c r="AG20" i="2" s="1"/>
  <c r="AH20" i="2" s="1"/>
  <c r="AF14" i="2"/>
  <c r="AG14" i="2" s="1"/>
  <c r="AH14" i="2" s="1"/>
  <c r="AF7" i="2"/>
  <c r="AG7" i="2" s="1"/>
  <c r="AH7" i="2" s="1"/>
  <c r="AF21" i="2"/>
  <c r="AG21" i="2" s="1"/>
  <c r="AH21" i="2" s="1"/>
  <c r="AF17" i="2"/>
  <c r="AG17" i="2" s="1"/>
  <c r="AH17" i="2" s="1"/>
  <c r="AF18" i="2"/>
  <c r="AG18" i="2" s="1"/>
  <c r="AH18" i="2" s="1"/>
  <c r="AF2" i="2"/>
  <c r="AG2" i="2" s="1"/>
  <c r="AH2" i="2" s="1"/>
  <c r="AF22" i="2"/>
  <c r="AG22" i="2" s="1"/>
  <c r="AH22" i="2" s="1"/>
  <c r="AF6" i="2"/>
  <c r="AG6" i="2" s="1"/>
  <c r="AH6" i="2" s="1"/>
  <c r="AF8" i="2"/>
  <c r="AG8" i="2" s="1"/>
  <c r="AH8" i="2" s="1"/>
  <c r="AF9" i="2"/>
  <c r="AG9" i="2" s="1"/>
  <c r="AH9" i="2" s="1"/>
  <c r="AF10" i="2"/>
  <c r="AG10" i="2" s="1"/>
  <c r="AH10" i="2" s="1"/>
  <c r="AF11" i="2"/>
  <c r="AG11" i="2" s="1"/>
  <c r="AH11" i="2" s="1"/>
  <c r="AF23" i="2"/>
  <c r="AG23" i="2" s="1"/>
  <c r="AH23" i="2" s="1"/>
  <c r="AF12" i="2"/>
  <c r="AG12" i="2" s="1"/>
  <c r="AH12" i="2" s="1"/>
  <c r="AF3" i="2"/>
  <c r="AG3" i="2" s="1"/>
  <c r="AH3" i="2" s="1"/>
  <c r="AF15" i="2"/>
  <c r="AG15" i="2" s="1"/>
  <c r="AH15" i="2" s="1"/>
  <c r="AF4" i="2"/>
  <c r="AG4" i="2" s="1"/>
  <c r="AH4" i="2" s="1"/>
  <c r="AF16" i="2"/>
  <c r="AG16" i="2" s="1"/>
  <c r="AH16" i="2" s="1"/>
  <c r="AI11" i="1"/>
  <c r="AI17" i="1"/>
  <c r="AB2" i="1"/>
  <c r="AI2" i="1" s="1"/>
  <c r="AI9" i="1"/>
  <c r="AI23" i="1"/>
  <c r="AI21" i="1"/>
  <c r="AI26" i="1"/>
  <c r="AI13" i="1"/>
  <c r="AI16" i="1" l="1"/>
  <c r="AI18" i="1"/>
  <c r="AI7" i="1"/>
</calcChain>
</file>

<file path=xl/sharedStrings.xml><?xml version="1.0" encoding="utf-8"?>
<sst xmlns="http://schemas.openxmlformats.org/spreadsheetml/2006/main" count="1084" uniqueCount="176">
  <si>
    <t>Dirección de correo</t>
  </si>
  <si>
    <t>Nombre</t>
  </si>
  <si>
    <t>Apellido(s)</t>
  </si>
  <si>
    <t>Sesión 1</t>
  </si>
  <si>
    <t>Sesión 2</t>
  </si>
  <si>
    <t>Sesión 3</t>
  </si>
  <si>
    <t>Sesión 4</t>
  </si>
  <si>
    <t>Sesión 5</t>
  </si>
  <si>
    <t>Sesión 6</t>
  </si>
  <si>
    <t>Sesión 7</t>
  </si>
  <si>
    <t>Sesión 8</t>
  </si>
  <si>
    <t>Sesión 9</t>
  </si>
  <si>
    <t>Sesión 10</t>
  </si>
  <si>
    <t>Sesión 11</t>
  </si>
  <si>
    <t>Sesión 12</t>
  </si>
  <si>
    <t>Sesión 13</t>
  </si>
  <si>
    <t>Sesión 14</t>
  </si>
  <si>
    <t>Sesión 15</t>
  </si>
  <si>
    <t>Sesión 16</t>
  </si>
  <si>
    <t>Sesión 17</t>
  </si>
  <si>
    <t>Sesión 18</t>
  </si>
  <si>
    <t>Sesión 19</t>
  </si>
  <si>
    <t>Sesión 20</t>
  </si>
  <si>
    <t>total fallas</t>
  </si>
  <si>
    <t>asistiencia</t>
  </si>
  <si>
    <t>taller  s4</t>
  </si>
  <si>
    <t>tarea s5</t>
  </si>
  <si>
    <t>tarea s7</t>
  </si>
  <si>
    <t>tarea s11</t>
  </si>
  <si>
    <t>tarea s15</t>
  </si>
  <si>
    <t>barriosmendezjhonalexander17@gmail.com</t>
  </si>
  <si>
    <t>Jhon Alexander</t>
  </si>
  <si>
    <t>Barrios Mendez</t>
  </si>
  <si>
    <t>x</t>
  </si>
  <si>
    <t>migueldjsaavedra@gmail.com</t>
  </si>
  <si>
    <t>Luis Miguel</t>
  </si>
  <si>
    <t>Beltran Saavedra</t>
  </si>
  <si>
    <t>hiphap134@gmail.com</t>
  </si>
  <si>
    <t>Camilo Andres</t>
  </si>
  <si>
    <t>Camacho Avila</t>
  </si>
  <si>
    <t>casallasmariana912@gmail.com</t>
  </si>
  <si>
    <t>Mariana</t>
  </si>
  <si>
    <t>Casallas Barrera</t>
  </si>
  <si>
    <t>diegoacp3009@gmail.com</t>
  </si>
  <si>
    <t>Diego Alejandro</t>
  </si>
  <si>
    <t>Castro Peña</t>
  </si>
  <si>
    <t>18samuelmedina@gmail.com</t>
  </si>
  <si>
    <t>Samuel Esteban</t>
  </si>
  <si>
    <t>Diaz Medina</t>
  </si>
  <si>
    <t>ferchoduran147@gmail.com</t>
  </si>
  <si>
    <t>Diego Fernando</t>
  </si>
  <si>
    <t>Duran Castañeda</t>
  </si>
  <si>
    <t>alejofierro99@gmail.com</t>
  </si>
  <si>
    <t>Nestor Alejandro</t>
  </si>
  <si>
    <t>Fierro Bello</t>
  </si>
  <si>
    <t>ivan-kf@hotmail.com</t>
  </si>
  <si>
    <t>Ivan Camilo</t>
  </si>
  <si>
    <t>Garcia Urrego</t>
  </si>
  <si>
    <t>johansneyderguataqui@gmail.com</t>
  </si>
  <si>
    <t>Johan Sneyder</t>
  </si>
  <si>
    <t>Guataqui Molina</t>
  </si>
  <si>
    <t>kenny_941215@hotmail.com</t>
  </si>
  <si>
    <t>Kevin Steven</t>
  </si>
  <si>
    <t>Guzman Acevedo</t>
  </si>
  <si>
    <t>alexjuli.0619@gmail.com</t>
  </si>
  <si>
    <t>Alex Julián</t>
  </si>
  <si>
    <t>Hernández García</t>
  </si>
  <si>
    <t>javierel2006@hotmail.com</t>
  </si>
  <si>
    <t>Javier Alexander</t>
  </si>
  <si>
    <t>Moreno Avila</t>
  </si>
  <si>
    <t>okaren.ojimena@gmail.com</t>
  </si>
  <si>
    <t>Karen Jimena</t>
  </si>
  <si>
    <t>Ocampo Otalora</t>
  </si>
  <si>
    <t>marioalejop@gmail.com</t>
  </si>
  <si>
    <t>Mario Alejandro</t>
  </si>
  <si>
    <t>Peña Arenas</t>
  </si>
  <si>
    <t>omarfer148@hotmail.com</t>
  </si>
  <si>
    <t>Omar Fernando</t>
  </si>
  <si>
    <t>Peña Garcia</t>
  </si>
  <si>
    <t>sidney9903@gmail.com</t>
  </si>
  <si>
    <t>Signey Geraldine</t>
  </si>
  <si>
    <t>Ramirez Jaramillo</t>
  </si>
  <si>
    <t>chagualdo.6@gmail.com</t>
  </si>
  <si>
    <t>Edward Alirio</t>
  </si>
  <si>
    <t>Rodriguez Osorio</t>
  </si>
  <si>
    <t>rmkarend@gmail.com</t>
  </si>
  <si>
    <t>Caren Dayana</t>
  </si>
  <si>
    <t>Romero Montoya</t>
  </si>
  <si>
    <t>jessisanabria20@gmail.com</t>
  </si>
  <si>
    <t>Jessica Andrea</t>
  </si>
  <si>
    <t>Sánchez Sanabria</t>
  </si>
  <si>
    <t>gutierrezkimberlyyurley@gmail.com</t>
  </si>
  <si>
    <t>Kimberly Yurley</t>
  </si>
  <si>
    <t>Segura Gutiérrez</t>
  </si>
  <si>
    <t>jkamilo501@gmail.com</t>
  </si>
  <si>
    <t>Juan Camilo</t>
  </si>
  <si>
    <t>Tautiva Moncada</t>
  </si>
  <si>
    <t>alheja1997@gmail.com</t>
  </si>
  <si>
    <t>María Alejandra</t>
  </si>
  <si>
    <t>Toro Ortiz</t>
  </si>
  <si>
    <t>mjulianm29@gmail.com</t>
  </si>
  <si>
    <t>Jose Manuel</t>
  </si>
  <si>
    <t>Torres Mendez</t>
  </si>
  <si>
    <t>jvillamil194@gmail.com</t>
  </si>
  <si>
    <t>Yeisson Camilo</t>
  </si>
  <si>
    <t>Villamil Blandon</t>
  </si>
  <si>
    <t>total_fallas</t>
  </si>
  <si>
    <t>taller 4</t>
  </si>
  <si>
    <t>taller  modelamiento calse 8</t>
  </si>
  <si>
    <t>taller pagina web</t>
  </si>
  <si>
    <t>my pets</t>
  </si>
  <si>
    <t>an-dres42@hotmail.com</t>
  </si>
  <si>
    <t>Andres Felipe</t>
  </si>
  <si>
    <t>Perez Barrera</t>
  </si>
  <si>
    <t>X</t>
  </si>
  <si>
    <t>jpaiparianne@gmail.com</t>
  </si>
  <si>
    <t>Arianne Juliana Estefania</t>
  </si>
  <si>
    <t>Paipa Villamizar</t>
  </si>
  <si>
    <t>brayan.moreno.valdes@gmail.com</t>
  </si>
  <si>
    <t>Brayan Stiven</t>
  </si>
  <si>
    <t>Moreno Valdes</t>
  </si>
  <si>
    <t>catalinaamaya64@outlook.com</t>
  </si>
  <si>
    <t>Catalina Alejandra</t>
  </si>
  <si>
    <t>Amaya Gaitan</t>
  </si>
  <si>
    <t>andrespinza95@gmail.com</t>
  </si>
  <si>
    <t>Cristian Andrés</t>
  </si>
  <si>
    <t>Pinza Rodriguez</t>
  </si>
  <si>
    <t>piperey2602@gmail.com</t>
  </si>
  <si>
    <t>Daniel Felipe</t>
  </si>
  <si>
    <t>Reyes Buitrago</t>
  </si>
  <si>
    <t>danyvelasquez2004@gmail.com</t>
  </si>
  <si>
    <t>Daniel Fernando</t>
  </si>
  <si>
    <t>Velasquez Moreno</t>
  </si>
  <si>
    <t>Ruffitosalguero@gmail.com</t>
  </si>
  <si>
    <t>David Stiven</t>
  </si>
  <si>
    <t>Lozano Salguero</t>
  </si>
  <si>
    <t>alejolobelo@gmail.com</t>
  </si>
  <si>
    <t>Lobelo Aranda</t>
  </si>
  <si>
    <t>Jairjj2000@gmail.com</t>
  </si>
  <si>
    <t>Jesús jair</t>
  </si>
  <si>
    <t>casallas alfonso</t>
  </si>
  <si>
    <t>joelesteban2006calderon@gmail.com</t>
  </si>
  <si>
    <t>Joel  Esteban</t>
  </si>
  <si>
    <t>Calderon Morales</t>
  </si>
  <si>
    <t>juanreina07@gmail.com</t>
  </si>
  <si>
    <t>Reina Palacios</t>
  </si>
  <si>
    <t>jukiangomez@gmail.com</t>
  </si>
  <si>
    <t>Julián Eduardo</t>
  </si>
  <si>
    <t>Gomez Blandón</t>
  </si>
  <si>
    <t>urregomaria048@gmail.com</t>
  </si>
  <si>
    <t>Maria Fernanda</t>
  </si>
  <si>
    <t>Urrego Espitia</t>
  </si>
  <si>
    <t>mjsc1902@gmail.com</t>
  </si>
  <si>
    <t>Mariana jessabeth</t>
  </si>
  <si>
    <t>Santos Colmenares</t>
  </si>
  <si>
    <t>nathalysantos0103@gmail.com</t>
  </si>
  <si>
    <t>Nathaly de los Angeles</t>
  </si>
  <si>
    <t>ganicolas3@gmail.com</t>
  </si>
  <si>
    <t>Nicolas Felipe</t>
  </si>
  <si>
    <t>Gracia Avendaño</t>
  </si>
  <si>
    <t>nixonagudelo5@gmail.com</t>
  </si>
  <si>
    <t>Nixon Sebastian</t>
  </si>
  <si>
    <t>Agudelo Pachón</t>
  </si>
  <si>
    <t>rodrigojosealeman@gmail.com</t>
  </si>
  <si>
    <t>rodrigo jose</t>
  </si>
  <si>
    <t>aleman lopez</t>
  </si>
  <si>
    <t>samuelestebanmorenoreyes@gmail.com</t>
  </si>
  <si>
    <t>Samuel  Esteban</t>
  </si>
  <si>
    <t>Moreno  Reyes</t>
  </si>
  <si>
    <t>victorardila12@outlook.com</t>
  </si>
  <si>
    <t>Victor  Alfonso</t>
  </si>
  <si>
    <t>Ardila  Rodriguez</t>
  </si>
  <si>
    <t xml:space="preserve">Yeison </t>
  </si>
  <si>
    <t>Caraballo Villarraga</t>
  </si>
  <si>
    <t>definitiva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</si>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</sst>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color rgb="FF666666"/>
      <name val="Montserrat"/>
    </font>
    <font>
      <sz val="12"/>
      <color theme="9"/>
      <name val="Calibri"/>
      <family val="2"/>
    </font>
    <font>
      <u/>
      <sz val="12"/>
      <color rgb="FF000000"/>
      <name val="Calibri"/>
      <family val="2"/>
    </font>
    <font>
      <u/>
      <sz val="12"/>
      <color theme="9"/>
      <name val="Calibri"/>
      <family val="2"/>
    </font>
    <font>
      <u/>
      <sz val="12"/>
      <color rgb="FF666666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1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0" xfId="0" applyBorder="1"/>
    <xf numFmtId="0" fontId="2" fillId="0" borderId="2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90" wrapText="1"/>
    </xf>
    <xf numFmtId="0" fontId="0" fillId="3" borderId="0" xfId="0" applyFill="1" applyBorder="1"/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 textRotation="90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9" fontId="6" fillId="3" borderId="1" xfId="0" applyNumberFormat="1" applyFont="1" applyFill="1" applyBorder="1" applyAlignment="1">
      <alignment horizontal="center" vertical="center" textRotation="90" wrapText="1"/>
    </xf>
    <xf numFmtId="0" fontId="0" fillId="3" borderId="1" xfId="0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 textRotation="90" wrapText="1"/>
    </xf>
    <xf numFmtId="0" fontId="1" fillId="0" borderId="1" xfId="1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2" xfId="0" applyBorder="1"/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showGridLines="0" tabSelected="1" workbookViewId="0">
      <selection activeCell="AF29" sqref="AF29"/>
    </sheetView>
  </sheetViews>
  <sheetFormatPr baseColWidth="10" defaultRowHeight="15.75" x14ac:dyDescent="0.25"/>
  <cols>
    <col min="1" max="1" width="37" bestFit="1" customWidth="1"/>
    <col min="2" max="2" width="14.5" bestFit="1" customWidth="1"/>
    <col min="3" max="3" width="15.25" bestFit="1" customWidth="1"/>
    <col min="4" max="24" width="1.875" hidden="1" customWidth="1"/>
    <col min="25" max="25" width="4.875" hidden="1" customWidth="1"/>
    <col min="26" max="26" width="4.125" hidden="1" customWidth="1"/>
    <col min="27" max="27" width="8.75" hidden="1" customWidth="1"/>
    <col min="28" max="28" width="4.125" hidden="1" customWidth="1"/>
    <col min="29" max="29" width="6.125" hidden="1" customWidth="1"/>
    <col min="30" max="30" width="6.125" bestFit="1" customWidth="1"/>
    <col min="31" max="31" width="4.125" customWidth="1"/>
    <col min="32" max="32" width="6.125" bestFit="1" customWidth="1"/>
    <col min="33" max="33" width="13.375" bestFit="1" customWidth="1"/>
    <col min="36" max="36" width="3" customWidth="1"/>
  </cols>
  <sheetData>
    <row r="1" spans="1:35" ht="100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/>
      <c r="Z1" s="15" t="s">
        <v>25</v>
      </c>
      <c r="AA1" s="15" t="s">
        <v>26</v>
      </c>
      <c r="AB1" s="16">
        <v>0.3</v>
      </c>
      <c r="AC1" s="15" t="s">
        <v>27</v>
      </c>
      <c r="AD1" s="15" t="s">
        <v>28</v>
      </c>
      <c r="AE1" s="16">
        <v>0.3</v>
      </c>
      <c r="AF1" s="15" t="s">
        <v>29</v>
      </c>
      <c r="AG1" s="15" t="s">
        <v>175</v>
      </c>
      <c r="AH1" s="16">
        <v>0.4</v>
      </c>
      <c r="AI1" s="19" t="s">
        <v>174</v>
      </c>
    </row>
    <row r="2" spans="1:35" x14ac:dyDescent="0.25">
      <c r="A2" s="1" t="s">
        <v>30</v>
      </c>
      <c r="B2" s="27" t="s">
        <v>31</v>
      </c>
      <c r="C2" s="27" t="s">
        <v>32</v>
      </c>
      <c r="D2" s="2" t="s">
        <v>33</v>
      </c>
      <c r="E2" s="2" t="s">
        <v>33</v>
      </c>
      <c r="F2" s="2" t="s">
        <v>33</v>
      </c>
      <c r="G2" s="2" t="s">
        <v>33</v>
      </c>
      <c r="H2" s="2"/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33</v>
      </c>
      <c r="P2" s="2" t="s">
        <v>33</v>
      </c>
      <c r="Q2" s="2"/>
      <c r="R2" s="2" t="s">
        <v>33</v>
      </c>
      <c r="S2" s="2" t="s">
        <v>33</v>
      </c>
      <c r="T2" s="2"/>
      <c r="U2" s="2" t="s">
        <v>33</v>
      </c>
      <c r="V2" s="2" t="s">
        <v>33</v>
      </c>
      <c r="W2" s="2" t="s">
        <v>33</v>
      </c>
      <c r="X2" s="1">
        <v>3</v>
      </c>
      <c r="Y2" s="14"/>
      <c r="Z2" s="14">
        <v>5</v>
      </c>
      <c r="AA2" s="1">
        <v>3.5</v>
      </c>
      <c r="AB2" s="17">
        <f>AVERAGE(Z2:AA2)</f>
        <v>4.25</v>
      </c>
      <c r="AC2">
        <v>5</v>
      </c>
      <c r="AD2" s="29">
        <v>4</v>
      </c>
      <c r="AE2" s="18">
        <f>AVERAGE(AC2:AD2)</f>
        <v>4.5</v>
      </c>
      <c r="AF2" s="29">
        <v>4.5</v>
      </c>
      <c r="AG2" s="27">
        <f>5-(X2*0.5)</f>
        <v>3.5</v>
      </c>
      <c r="AH2" s="17">
        <f>AVERAGE(AF2:AG2)</f>
        <v>4</v>
      </c>
      <c r="AI2" s="20">
        <f>(AH2*$AB$1)+(AE2*$AE$1)+(AB2*$AH$1)</f>
        <v>4.25</v>
      </c>
    </row>
    <row r="3" spans="1:35" x14ac:dyDescent="0.25">
      <c r="A3" s="1" t="s">
        <v>34</v>
      </c>
      <c r="B3" s="27" t="s">
        <v>35</v>
      </c>
      <c r="C3" s="27" t="s">
        <v>36</v>
      </c>
      <c r="D3" s="2" t="s">
        <v>33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2" t="s">
        <v>33</v>
      </c>
      <c r="V3" s="2" t="s">
        <v>33</v>
      </c>
      <c r="W3" s="2" t="s">
        <v>33</v>
      </c>
      <c r="X3" s="1">
        <v>0</v>
      </c>
      <c r="Y3" s="1"/>
      <c r="Z3" s="1">
        <v>5</v>
      </c>
      <c r="AA3" s="1">
        <v>5</v>
      </c>
      <c r="AB3" s="17">
        <f>AVERAGE(Z3:AA3)</f>
        <v>5</v>
      </c>
      <c r="AC3">
        <v>4.5</v>
      </c>
      <c r="AD3" s="29">
        <v>4</v>
      </c>
      <c r="AE3" s="18">
        <f>AVERAGE(AC3:AD3)</f>
        <v>4.25</v>
      </c>
      <c r="AF3" s="29">
        <v>4</v>
      </c>
      <c r="AG3" s="27">
        <f>5-(X3*0.5)</f>
        <v>5</v>
      </c>
      <c r="AH3" s="17">
        <f>AVERAGE(AF3:AG3)</f>
        <v>4.5</v>
      </c>
      <c r="AI3" s="20">
        <f>(AH3*$AB$1)+(AE3*$AE$1)+(AB3*$AH$1)</f>
        <v>4.625</v>
      </c>
    </row>
    <row r="4" spans="1:35" x14ac:dyDescent="0.25">
      <c r="A4" s="1" t="s">
        <v>37</v>
      </c>
      <c r="B4" s="27" t="s">
        <v>38</v>
      </c>
      <c r="C4" s="27" t="s">
        <v>39</v>
      </c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33</v>
      </c>
      <c r="N4" s="2" t="s">
        <v>33</v>
      </c>
      <c r="O4" s="2" t="s">
        <v>33</v>
      </c>
      <c r="P4" s="2" t="s">
        <v>33</v>
      </c>
      <c r="Q4" s="2"/>
      <c r="R4" s="2" t="s">
        <v>33</v>
      </c>
      <c r="S4" s="2" t="s">
        <v>33</v>
      </c>
      <c r="T4" s="2"/>
      <c r="U4" s="2" t="s">
        <v>33</v>
      </c>
      <c r="V4" s="2" t="s">
        <v>33</v>
      </c>
      <c r="W4" s="2" t="s">
        <v>33</v>
      </c>
      <c r="X4" s="1">
        <v>2</v>
      </c>
      <c r="Y4" s="1"/>
      <c r="Z4" s="1">
        <v>5</v>
      </c>
      <c r="AA4" s="1">
        <v>4.5</v>
      </c>
      <c r="AB4" s="17">
        <f>AVERAGE(Z4:AA4)</f>
        <v>4.75</v>
      </c>
      <c r="AC4" s="29">
        <v>4.8</v>
      </c>
      <c r="AD4" s="29">
        <v>4.5</v>
      </c>
      <c r="AE4" s="18">
        <f>AVERAGE(AC4:AD4)</f>
        <v>4.6500000000000004</v>
      </c>
      <c r="AF4" s="29">
        <v>4.5</v>
      </c>
      <c r="AG4" s="27">
        <f>5-(X4*0.5)</f>
        <v>4</v>
      </c>
      <c r="AH4" s="17">
        <f>AVERAGE(AF4:AG4)</f>
        <v>4.25</v>
      </c>
      <c r="AI4" s="20">
        <f>(AH4*$AB$1)+(AE4*$AE$1)+(AB4*$AH$1)</f>
        <v>4.57</v>
      </c>
    </row>
    <row r="5" spans="1:35" x14ac:dyDescent="0.25">
      <c r="A5" s="1" t="s">
        <v>40</v>
      </c>
      <c r="B5" s="27" t="s">
        <v>41</v>
      </c>
      <c r="C5" s="27" t="s">
        <v>42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/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1">
        <v>1</v>
      </c>
      <c r="Y5" s="1"/>
      <c r="Z5" s="1">
        <v>5</v>
      </c>
      <c r="AA5" s="1">
        <v>5</v>
      </c>
      <c r="AB5" s="17">
        <f>AVERAGE(Z5:AA5)</f>
        <v>5</v>
      </c>
      <c r="AC5" s="14">
        <v>4.8</v>
      </c>
      <c r="AD5" s="29">
        <v>4.5</v>
      </c>
      <c r="AE5" s="18">
        <f>AVERAGE(AC5:AD5)</f>
        <v>4.6500000000000004</v>
      </c>
      <c r="AF5" s="29">
        <v>4.4000000000000004</v>
      </c>
      <c r="AG5" s="27">
        <f>5-(X5*0.5)</f>
        <v>4.5</v>
      </c>
      <c r="AH5" s="17">
        <f>AVERAGE(AF5:AG5)</f>
        <v>4.45</v>
      </c>
      <c r="AI5" s="20">
        <f>(AH5*$AB$1)+(AE5*$AE$1)+(AB5*$AH$1)</f>
        <v>4.7300000000000004</v>
      </c>
    </row>
    <row r="6" spans="1:35" x14ac:dyDescent="0.25">
      <c r="A6" s="1" t="s">
        <v>43</v>
      </c>
      <c r="B6" s="27" t="s">
        <v>44</v>
      </c>
      <c r="C6" s="27" t="s">
        <v>45</v>
      </c>
      <c r="D6" s="2" t="s">
        <v>33</v>
      </c>
      <c r="E6" s="2" t="s">
        <v>33</v>
      </c>
      <c r="F6" s="2" t="s">
        <v>33</v>
      </c>
      <c r="G6" s="2" t="s">
        <v>33</v>
      </c>
      <c r="H6" s="2"/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1">
        <v>1</v>
      </c>
      <c r="Y6" s="1"/>
      <c r="Z6" s="1">
        <v>5</v>
      </c>
      <c r="AA6" s="1">
        <v>4</v>
      </c>
      <c r="AB6" s="17">
        <f>AVERAGE(Z6:AA6)</f>
        <v>4.5</v>
      </c>
      <c r="AC6" s="29">
        <v>4.8</v>
      </c>
      <c r="AD6" s="29">
        <v>4</v>
      </c>
      <c r="AE6" s="18">
        <f>AVERAGE(AC6:AD6)</f>
        <v>4.4000000000000004</v>
      </c>
      <c r="AF6" s="29">
        <v>4.3</v>
      </c>
      <c r="AG6" s="27">
        <f>5-(X6*0.5)</f>
        <v>4.5</v>
      </c>
      <c r="AH6" s="17">
        <f>AVERAGE(AF6:AG6)</f>
        <v>4.4000000000000004</v>
      </c>
      <c r="AI6" s="20">
        <f>(AH6*$AB$1)+(AE6*$AE$1)+(AB6*$AH$1)</f>
        <v>4.4400000000000004</v>
      </c>
    </row>
    <row r="7" spans="1:35" x14ac:dyDescent="0.25">
      <c r="A7" s="1" t="s">
        <v>46</v>
      </c>
      <c r="B7" s="27" t="s">
        <v>47</v>
      </c>
      <c r="C7" s="27" t="s">
        <v>48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3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1">
        <v>0</v>
      </c>
      <c r="Y7" s="1"/>
      <c r="Z7" s="1">
        <v>5</v>
      </c>
      <c r="AA7" s="1">
        <v>5</v>
      </c>
      <c r="AB7" s="17">
        <f>AVERAGE(Z7:AA7)</f>
        <v>5</v>
      </c>
      <c r="AC7">
        <v>4.5</v>
      </c>
      <c r="AD7" s="29">
        <v>4.5</v>
      </c>
      <c r="AE7" s="18">
        <f>AVERAGE(AC7:AD7)</f>
        <v>4.5</v>
      </c>
      <c r="AF7" s="29">
        <v>4</v>
      </c>
      <c r="AG7" s="27">
        <f>5-(X7*0.5)</f>
        <v>5</v>
      </c>
      <c r="AH7" s="17">
        <f>AVERAGE(AF7:AG7)</f>
        <v>4.5</v>
      </c>
      <c r="AI7" s="20">
        <f>(AH7*$AB$1)+(AE7*$AE$1)+(AB7*$AH$1)</f>
        <v>4.6999999999999993</v>
      </c>
    </row>
    <row r="8" spans="1:35" x14ac:dyDescent="0.25">
      <c r="A8" s="1" t="s">
        <v>49</v>
      </c>
      <c r="B8" s="27" t="s">
        <v>50</v>
      </c>
      <c r="C8" s="27" t="s">
        <v>51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1">
        <v>0</v>
      </c>
      <c r="Y8" s="1"/>
      <c r="Z8" s="1">
        <v>5</v>
      </c>
      <c r="AA8" s="1">
        <v>5</v>
      </c>
      <c r="AB8" s="17">
        <f>AVERAGE(Z8:AA8)</f>
        <v>5</v>
      </c>
      <c r="AC8">
        <v>5</v>
      </c>
      <c r="AD8" s="29">
        <v>4.5</v>
      </c>
      <c r="AE8" s="18">
        <f>AVERAGE(AC8:AD8)</f>
        <v>4.75</v>
      </c>
      <c r="AF8" s="29">
        <v>4.5</v>
      </c>
      <c r="AG8" s="27">
        <f>5-(X8*0.5)</f>
        <v>5</v>
      </c>
      <c r="AH8" s="17">
        <f>AVERAGE(AF8:AG8)</f>
        <v>4.75</v>
      </c>
      <c r="AI8" s="20">
        <f>(AH8*$AB$1)+(AE8*$AE$1)+(AB8*$AH$1)</f>
        <v>4.8499999999999996</v>
      </c>
    </row>
    <row r="9" spans="1:35" x14ac:dyDescent="0.25">
      <c r="A9" s="1" t="s">
        <v>52</v>
      </c>
      <c r="B9" s="27" t="s">
        <v>53</v>
      </c>
      <c r="C9" s="27" t="s">
        <v>54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33</v>
      </c>
      <c r="M9" s="2" t="s">
        <v>33</v>
      </c>
      <c r="N9" s="2" t="s">
        <v>33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/>
      <c r="U9" s="2" t="s">
        <v>33</v>
      </c>
      <c r="V9" s="2" t="s">
        <v>33</v>
      </c>
      <c r="W9" s="2" t="s">
        <v>33</v>
      </c>
      <c r="X9" s="1">
        <v>1</v>
      </c>
      <c r="Y9" s="1"/>
      <c r="Z9" s="1">
        <v>5</v>
      </c>
      <c r="AA9" s="1">
        <v>5</v>
      </c>
      <c r="AB9" s="17">
        <f>AVERAGE(Z9:AA9)</f>
        <v>5</v>
      </c>
      <c r="AC9">
        <v>4.5</v>
      </c>
      <c r="AD9" s="29">
        <v>4</v>
      </c>
      <c r="AE9" s="18">
        <f>AVERAGE(AC9:AD9)</f>
        <v>4.25</v>
      </c>
      <c r="AF9" s="29">
        <v>4.3</v>
      </c>
      <c r="AG9" s="27">
        <f>5-(X9*0.5)</f>
        <v>4.5</v>
      </c>
      <c r="AH9" s="17">
        <f>AVERAGE(AF9:AG9)</f>
        <v>4.4000000000000004</v>
      </c>
      <c r="AI9" s="20">
        <f>(AH9*$AB$1)+(AE9*$AE$1)+(AB9*$AH$1)</f>
        <v>4.5949999999999998</v>
      </c>
    </row>
    <row r="10" spans="1:35" x14ac:dyDescent="0.25">
      <c r="A10" s="1" t="s">
        <v>55</v>
      </c>
      <c r="B10" s="27" t="s">
        <v>56</v>
      </c>
      <c r="C10" s="27" t="s">
        <v>57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s">
        <v>33</v>
      </c>
      <c r="L10" s="2"/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2" t="s">
        <v>33</v>
      </c>
      <c r="X10" s="1">
        <v>1</v>
      </c>
      <c r="Y10" s="1"/>
      <c r="Z10" s="1">
        <v>5</v>
      </c>
      <c r="AA10" s="1">
        <v>5</v>
      </c>
      <c r="AB10" s="17">
        <f>AVERAGE(Z10:AA10)</f>
        <v>5</v>
      </c>
      <c r="AC10" s="14">
        <v>4.5</v>
      </c>
      <c r="AD10" s="29">
        <v>4.5</v>
      </c>
      <c r="AE10" s="18">
        <f>AVERAGE(AC10:AD10)</f>
        <v>4.5</v>
      </c>
      <c r="AF10" s="29">
        <v>4</v>
      </c>
      <c r="AG10" s="27">
        <f>5-(X10*0.5)</f>
        <v>4.5</v>
      </c>
      <c r="AH10" s="17">
        <f>AVERAGE(AF10:AG10)</f>
        <v>4.25</v>
      </c>
      <c r="AI10" s="20">
        <f>(AH10*$AB$1)+(AE10*$AE$1)+(AB10*$AH$1)</f>
        <v>4.625</v>
      </c>
    </row>
    <row r="11" spans="1:35" x14ac:dyDescent="0.25">
      <c r="A11" s="1" t="s">
        <v>58</v>
      </c>
      <c r="B11" s="27" t="s">
        <v>59</v>
      </c>
      <c r="C11" s="27" t="s">
        <v>60</v>
      </c>
      <c r="D11" s="2" t="s">
        <v>33</v>
      </c>
      <c r="E11" s="2"/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 t="s">
        <v>33</v>
      </c>
      <c r="W11" s="2" t="s">
        <v>33</v>
      </c>
      <c r="X11" s="1">
        <v>1</v>
      </c>
      <c r="Y11" s="1"/>
      <c r="Z11" s="1">
        <v>5</v>
      </c>
      <c r="AA11" s="1">
        <v>5</v>
      </c>
      <c r="AB11" s="17">
        <f>AVERAGE(Z11:AA11)</f>
        <v>5</v>
      </c>
      <c r="AC11">
        <v>4.5</v>
      </c>
      <c r="AD11" s="29">
        <v>4</v>
      </c>
      <c r="AE11" s="18">
        <f>AVERAGE(AC11:AD11)</f>
        <v>4.25</v>
      </c>
      <c r="AF11" s="29">
        <v>4.5</v>
      </c>
      <c r="AG11" s="27">
        <f>5-(X11*0.5)</f>
        <v>4.5</v>
      </c>
      <c r="AH11" s="17">
        <f>AVERAGE(AF11:AG11)</f>
        <v>4.5</v>
      </c>
      <c r="AI11" s="20">
        <f>(AH11*$AB$1)+(AE11*$AE$1)+(AB11*$AH$1)</f>
        <v>4.625</v>
      </c>
    </row>
    <row r="12" spans="1:35" x14ac:dyDescent="0.25">
      <c r="A12" s="1" t="s">
        <v>61</v>
      </c>
      <c r="B12" s="27" t="s">
        <v>62</v>
      </c>
      <c r="C12" s="27" t="s">
        <v>63</v>
      </c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1">
        <v>0</v>
      </c>
      <c r="Y12" s="1"/>
      <c r="Z12" s="1">
        <v>5</v>
      </c>
      <c r="AA12" s="1">
        <v>5</v>
      </c>
      <c r="AB12" s="17">
        <f>AVERAGE(Z12:AA12)</f>
        <v>5</v>
      </c>
      <c r="AC12" s="14">
        <v>5</v>
      </c>
      <c r="AD12" s="29">
        <v>4.5</v>
      </c>
      <c r="AE12" s="18">
        <f>AVERAGE(AC12:AD12)</f>
        <v>4.75</v>
      </c>
      <c r="AF12" s="29">
        <v>4.5</v>
      </c>
      <c r="AG12" s="27">
        <f>5-(X12*0.5)</f>
        <v>5</v>
      </c>
      <c r="AH12" s="17">
        <f>AVERAGE(AF12:AG12)</f>
        <v>4.75</v>
      </c>
      <c r="AI12" s="20">
        <f>(AH12*$AB$1)+(AE12*$AE$1)+(AB12*$AH$1)</f>
        <v>4.8499999999999996</v>
      </c>
    </row>
    <row r="13" spans="1:35" x14ac:dyDescent="0.25">
      <c r="A13" s="1" t="s">
        <v>64</v>
      </c>
      <c r="B13" s="27" t="s">
        <v>65</v>
      </c>
      <c r="C13" s="27" t="s">
        <v>66</v>
      </c>
      <c r="D13" s="2" t="s">
        <v>33</v>
      </c>
      <c r="E13" s="2" t="s">
        <v>33</v>
      </c>
      <c r="F13" s="2" t="s">
        <v>33</v>
      </c>
      <c r="G13" s="2" t="s">
        <v>33</v>
      </c>
      <c r="H13" s="2"/>
      <c r="I13" s="2" t="s">
        <v>33</v>
      </c>
      <c r="J13" s="2" t="s">
        <v>33</v>
      </c>
      <c r="K13" s="2" t="s">
        <v>33</v>
      </c>
      <c r="L13" s="2" t="s">
        <v>33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3" t="s">
        <v>33</v>
      </c>
      <c r="U13" s="2" t="s">
        <v>33</v>
      </c>
      <c r="V13" s="2" t="s">
        <v>33</v>
      </c>
      <c r="W13" s="2" t="s">
        <v>33</v>
      </c>
      <c r="X13" s="1">
        <v>1</v>
      </c>
      <c r="Y13" s="1"/>
      <c r="Z13" s="1">
        <v>5</v>
      </c>
      <c r="AA13" s="1">
        <v>5</v>
      </c>
      <c r="AB13" s="17">
        <f>AVERAGE(Z13:AA13)</f>
        <v>5</v>
      </c>
      <c r="AC13" s="29">
        <v>4.8</v>
      </c>
      <c r="AD13" s="29">
        <v>4.5</v>
      </c>
      <c r="AE13" s="18">
        <f>AVERAGE(AC13:AD13)</f>
        <v>4.6500000000000004</v>
      </c>
      <c r="AF13" s="29">
        <v>0</v>
      </c>
      <c r="AG13" s="27">
        <f>5-(X13*0.5)</f>
        <v>4.5</v>
      </c>
      <c r="AH13" s="17">
        <f>AVERAGE(AF13:AG13)</f>
        <v>2.25</v>
      </c>
      <c r="AI13" s="20">
        <f>(AH13*$AB$1)+(AE13*$AE$1)+(AB13*$AH$1)</f>
        <v>4.07</v>
      </c>
    </row>
    <row r="14" spans="1:35" x14ac:dyDescent="0.25">
      <c r="A14" s="1" t="s">
        <v>67</v>
      </c>
      <c r="B14" s="27" t="s">
        <v>68</v>
      </c>
      <c r="C14" s="27" t="s">
        <v>69</v>
      </c>
      <c r="D14" s="2" t="s">
        <v>33</v>
      </c>
      <c r="E14" s="2"/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  <c r="N14" s="2" t="s">
        <v>33</v>
      </c>
      <c r="O14" s="2" t="s">
        <v>33</v>
      </c>
      <c r="P14" s="2" t="s">
        <v>33</v>
      </c>
      <c r="Q14" s="2"/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1">
        <v>2</v>
      </c>
      <c r="Y14" s="1"/>
      <c r="Z14" s="1">
        <v>5</v>
      </c>
      <c r="AA14" s="1">
        <v>5</v>
      </c>
      <c r="AB14" s="17">
        <f>AVERAGE(Z14:AA14)</f>
        <v>5</v>
      </c>
      <c r="AC14" s="14">
        <v>4.5</v>
      </c>
      <c r="AD14" s="29">
        <v>4.5</v>
      </c>
      <c r="AE14" s="18">
        <f>AVERAGE(AC14:AD14)</f>
        <v>4.5</v>
      </c>
      <c r="AF14" s="29">
        <v>4.5</v>
      </c>
      <c r="AG14" s="27">
        <f>5-(X14*0.5)</f>
        <v>4</v>
      </c>
      <c r="AH14" s="17">
        <f>AVERAGE(AF14:AG14)</f>
        <v>4.25</v>
      </c>
      <c r="AI14" s="20">
        <f>(AH14*$AB$1)+(AE14*$AE$1)+(AB14*$AH$1)</f>
        <v>4.625</v>
      </c>
    </row>
    <row r="15" spans="1:35" x14ac:dyDescent="0.25">
      <c r="A15" s="1" t="s">
        <v>70</v>
      </c>
      <c r="B15" s="27" t="s">
        <v>71</v>
      </c>
      <c r="C15" s="27" t="s">
        <v>72</v>
      </c>
      <c r="D15" s="2" t="s">
        <v>33</v>
      </c>
      <c r="E15" s="2"/>
      <c r="F15" s="2" t="s">
        <v>33</v>
      </c>
      <c r="G15" s="2" t="s">
        <v>33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33</v>
      </c>
      <c r="M15" s="2" t="s">
        <v>33</v>
      </c>
      <c r="N15" s="2" t="s">
        <v>33</v>
      </c>
      <c r="O15" s="2" t="s">
        <v>33</v>
      </c>
      <c r="P15" s="2" t="s">
        <v>33</v>
      </c>
      <c r="Q15" s="2" t="s">
        <v>33</v>
      </c>
      <c r="R15" s="2" t="s">
        <v>33</v>
      </c>
      <c r="S15" s="2"/>
      <c r="T15" s="2" t="s">
        <v>33</v>
      </c>
      <c r="U15" s="2" t="s">
        <v>33</v>
      </c>
      <c r="V15" s="2" t="s">
        <v>33</v>
      </c>
      <c r="W15" s="2" t="s">
        <v>33</v>
      </c>
      <c r="X15" s="1">
        <v>2</v>
      </c>
      <c r="Y15" s="1"/>
      <c r="Z15" s="1">
        <v>5</v>
      </c>
      <c r="AA15" s="1">
        <v>5</v>
      </c>
      <c r="AB15" s="17">
        <f>AVERAGE(Z15:AA15)</f>
        <v>5</v>
      </c>
      <c r="AC15" s="28">
        <v>5</v>
      </c>
      <c r="AD15" s="29">
        <v>5</v>
      </c>
      <c r="AE15" s="18">
        <f>AVERAGE(AC15:AD15)</f>
        <v>5</v>
      </c>
      <c r="AF15" s="29">
        <v>4.5</v>
      </c>
      <c r="AG15" s="27">
        <f>5-(X15*0.5)</f>
        <v>4</v>
      </c>
      <c r="AH15" s="17">
        <f>AVERAGE(AF15:AG15)</f>
        <v>4.25</v>
      </c>
      <c r="AI15" s="20">
        <f>(AH15*$AB$1)+(AE15*$AE$1)+(AB15*$AH$1)</f>
        <v>4.7750000000000004</v>
      </c>
    </row>
    <row r="16" spans="1:35" x14ac:dyDescent="0.25">
      <c r="A16" s="1" t="s">
        <v>73</v>
      </c>
      <c r="B16" s="27" t="s">
        <v>74</v>
      </c>
      <c r="C16" s="27" t="s">
        <v>75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33</v>
      </c>
      <c r="J16" s="2" t="s">
        <v>33</v>
      </c>
      <c r="K16" s="2" t="s">
        <v>33</v>
      </c>
      <c r="L16" s="2" t="s">
        <v>33</v>
      </c>
      <c r="M16" s="2" t="s">
        <v>33</v>
      </c>
      <c r="N16" s="2" t="s">
        <v>33</v>
      </c>
      <c r="O16" s="2" t="s">
        <v>33</v>
      </c>
      <c r="P16" s="2" t="s">
        <v>33</v>
      </c>
      <c r="Q16" s="2"/>
      <c r="R16" s="2" t="s">
        <v>33</v>
      </c>
      <c r="S16" s="2" t="s">
        <v>33</v>
      </c>
      <c r="T16" s="2"/>
      <c r="U16" s="2" t="s">
        <v>33</v>
      </c>
      <c r="V16" s="2" t="s">
        <v>33</v>
      </c>
      <c r="W16" s="2" t="s">
        <v>33</v>
      </c>
      <c r="X16" s="1">
        <v>2</v>
      </c>
      <c r="Y16" s="1"/>
      <c r="Z16" s="1">
        <v>5</v>
      </c>
      <c r="AA16" s="1">
        <v>5</v>
      </c>
      <c r="AB16" s="17">
        <f>AVERAGE(Z16:AA16)</f>
        <v>5</v>
      </c>
      <c r="AC16" s="30">
        <v>4.5</v>
      </c>
      <c r="AD16" s="29">
        <v>5</v>
      </c>
      <c r="AE16" s="18">
        <f>AVERAGE(AC16:AD16)</f>
        <v>4.75</v>
      </c>
      <c r="AF16" s="29">
        <v>4.5</v>
      </c>
      <c r="AG16" s="27">
        <f>5-(X16*0.5)</f>
        <v>4</v>
      </c>
      <c r="AH16" s="17">
        <f>AVERAGE(AF16:AG16)</f>
        <v>4.25</v>
      </c>
      <c r="AI16" s="20">
        <f>(AH16*$AB$1)+(AE16*$AE$1)+(AB16*$AH$1)</f>
        <v>4.7</v>
      </c>
    </row>
    <row r="17" spans="1:35" x14ac:dyDescent="0.25">
      <c r="A17" s="1" t="s">
        <v>76</v>
      </c>
      <c r="B17" s="27" t="s">
        <v>77</v>
      </c>
      <c r="C17" s="27" t="s">
        <v>78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33</v>
      </c>
      <c r="J17" s="2" t="s">
        <v>33</v>
      </c>
      <c r="K17" s="2" t="s">
        <v>33</v>
      </c>
      <c r="L17" s="2" t="s">
        <v>33</v>
      </c>
      <c r="M17" s="2" t="s">
        <v>33</v>
      </c>
      <c r="N17" s="2" t="s">
        <v>33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1">
        <v>0</v>
      </c>
      <c r="Y17" s="1"/>
      <c r="Z17" s="1">
        <v>5</v>
      </c>
      <c r="AA17" s="1">
        <v>5</v>
      </c>
      <c r="AB17" s="17">
        <f>AVERAGE(Z17:AA17)</f>
        <v>5</v>
      </c>
      <c r="AC17">
        <v>4.5</v>
      </c>
      <c r="AD17" s="29">
        <v>4.5</v>
      </c>
      <c r="AE17" s="18">
        <f>AVERAGE(AC17:AD17)</f>
        <v>4.5</v>
      </c>
      <c r="AF17" s="29">
        <v>4</v>
      </c>
      <c r="AG17" s="27">
        <f>5-(X17*0.5)</f>
        <v>5</v>
      </c>
      <c r="AH17" s="17">
        <f>AVERAGE(AF17:AG17)</f>
        <v>4.5</v>
      </c>
      <c r="AI17" s="20">
        <f>(AH17*$AB$1)+(AE17*$AE$1)+(AB17*$AH$1)</f>
        <v>4.6999999999999993</v>
      </c>
    </row>
    <row r="18" spans="1:35" x14ac:dyDescent="0.25">
      <c r="A18" s="1" t="s">
        <v>79</v>
      </c>
      <c r="B18" s="27" t="s">
        <v>80</v>
      </c>
      <c r="C18" s="27" t="s">
        <v>81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/>
      <c r="J18" s="2" t="s">
        <v>33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33</v>
      </c>
      <c r="P18" s="2" t="s">
        <v>33</v>
      </c>
      <c r="Q18" s="2"/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1">
        <v>2</v>
      </c>
      <c r="Y18" s="1"/>
      <c r="Z18" s="1">
        <v>5</v>
      </c>
      <c r="AA18" s="1">
        <v>5</v>
      </c>
      <c r="AB18" s="17">
        <f>AVERAGE(Z18:AA18)</f>
        <v>5</v>
      </c>
      <c r="AC18" s="14">
        <v>4.8</v>
      </c>
      <c r="AD18" s="29">
        <v>4.5</v>
      </c>
      <c r="AE18" s="18">
        <f>AVERAGE(AC18:AD18)</f>
        <v>4.6500000000000004</v>
      </c>
      <c r="AF18" s="29">
        <v>3.8</v>
      </c>
      <c r="AG18" s="27">
        <f>5-(X18*0.5)</f>
        <v>4</v>
      </c>
      <c r="AH18" s="17">
        <f>AVERAGE(AF18:AG18)</f>
        <v>3.9</v>
      </c>
      <c r="AI18" s="20">
        <f>(AH18*$AB$1)+(AE18*$AE$1)+(AB18*$AH$1)</f>
        <v>4.5649999999999995</v>
      </c>
    </row>
    <row r="19" spans="1:35" x14ac:dyDescent="0.25">
      <c r="A19" s="1" t="s">
        <v>82</v>
      </c>
      <c r="B19" s="27" t="s">
        <v>83</v>
      </c>
      <c r="C19" s="27" t="s">
        <v>84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 t="s">
        <v>33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/>
      <c r="R19" s="2" t="s">
        <v>33</v>
      </c>
      <c r="S19" s="2" t="s">
        <v>33</v>
      </c>
      <c r="T19" s="2" t="s">
        <v>33</v>
      </c>
      <c r="U19" s="2" t="s">
        <v>33</v>
      </c>
      <c r="V19" s="2" t="s">
        <v>33</v>
      </c>
      <c r="W19" s="2" t="s">
        <v>33</v>
      </c>
      <c r="X19" s="1">
        <v>1</v>
      </c>
      <c r="Y19" s="1"/>
      <c r="Z19" s="1">
        <v>5</v>
      </c>
      <c r="AA19" s="1">
        <v>5</v>
      </c>
      <c r="AB19" s="17">
        <f>AVERAGE(Z19:AA19)</f>
        <v>5</v>
      </c>
      <c r="AC19">
        <v>5</v>
      </c>
      <c r="AD19" s="29">
        <v>4.5</v>
      </c>
      <c r="AE19" s="18">
        <f>AVERAGE(AC19:AD19)</f>
        <v>4.75</v>
      </c>
      <c r="AF19" s="29">
        <v>4</v>
      </c>
      <c r="AG19" s="27">
        <f>5-(X19*0.5)</f>
        <v>4.5</v>
      </c>
      <c r="AH19" s="17">
        <f>AVERAGE(AF19:AG19)</f>
        <v>4.25</v>
      </c>
      <c r="AI19" s="20">
        <f>(AH19*$AB$1)+(AE19*$AE$1)+(AB19*$AH$1)</f>
        <v>4.7</v>
      </c>
    </row>
    <row r="20" spans="1:35" x14ac:dyDescent="0.25">
      <c r="A20" s="1" t="s">
        <v>85</v>
      </c>
      <c r="B20" s="27" t="s">
        <v>86</v>
      </c>
      <c r="C20" s="27" t="s">
        <v>87</v>
      </c>
      <c r="D20" s="2" t="s">
        <v>33</v>
      </c>
      <c r="E20" s="2"/>
      <c r="F20" s="2" t="s">
        <v>33</v>
      </c>
      <c r="G20" s="2" t="s">
        <v>33</v>
      </c>
      <c r="H20" s="2" t="s">
        <v>33</v>
      </c>
      <c r="I20" s="2" t="s">
        <v>33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/>
      <c r="Q20" s="2" t="s">
        <v>33</v>
      </c>
      <c r="R20" s="2" t="s">
        <v>33</v>
      </c>
      <c r="S20" s="2" t="s">
        <v>33</v>
      </c>
      <c r="T20" s="2" t="s">
        <v>33</v>
      </c>
      <c r="U20" s="2" t="s">
        <v>33</v>
      </c>
      <c r="V20" s="2" t="s">
        <v>33</v>
      </c>
      <c r="W20" s="2" t="s">
        <v>33</v>
      </c>
      <c r="X20" s="1">
        <v>2</v>
      </c>
      <c r="Y20" s="1"/>
      <c r="Z20" s="1">
        <v>5</v>
      </c>
      <c r="AA20" s="1">
        <v>5</v>
      </c>
      <c r="AB20" s="17">
        <f>AVERAGE(Z20:AA20)</f>
        <v>5</v>
      </c>
      <c r="AC20" s="29">
        <v>4.8</v>
      </c>
      <c r="AD20" s="29">
        <v>4.5</v>
      </c>
      <c r="AE20" s="18">
        <f>AVERAGE(AC20:AD20)</f>
        <v>4.6500000000000004</v>
      </c>
      <c r="AF20" s="29">
        <v>4.5</v>
      </c>
      <c r="AG20" s="27">
        <f>5-(X20*0.5)</f>
        <v>4</v>
      </c>
      <c r="AH20" s="17">
        <f>AVERAGE(AF20:AG20)</f>
        <v>4.25</v>
      </c>
      <c r="AI20" s="20">
        <f>(AH20*$AB$1)+(AE20*$AE$1)+(AB20*$AH$1)</f>
        <v>4.67</v>
      </c>
    </row>
    <row r="21" spans="1:35" x14ac:dyDescent="0.25">
      <c r="A21" s="1" t="s">
        <v>88</v>
      </c>
      <c r="B21" s="27" t="s">
        <v>89</v>
      </c>
      <c r="C21" s="27" t="s">
        <v>90</v>
      </c>
      <c r="D21" s="2" t="s">
        <v>33</v>
      </c>
      <c r="E21" s="2" t="s">
        <v>33</v>
      </c>
      <c r="F21" s="2" t="s">
        <v>33</v>
      </c>
      <c r="G21" s="2"/>
      <c r="H21" s="2" t="s">
        <v>33</v>
      </c>
      <c r="I21" s="2" t="s">
        <v>33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/>
      <c r="Q21" s="2" t="s">
        <v>33</v>
      </c>
      <c r="R21" s="2" t="s">
        <v>33</v>
      </c>
      <c r="S21" s="2" t="s">
        <v>33</v>
      </c>
      <c r="T21" s="2" t="s">
        <v>33</v>
      </c>
      <c r="U21" s="2" t="s">
        <v>33</v>
      </c>
      <c r="V21" s="2" t="s">
        <v>33</v>
      </c>
      <c r="W21" s="2" t="s">
        <v>33</v>
      </c>
      <c r="X21" s="1">
        <v>2</v>
      </c>
      <c r="Y21" s="1"/>
      <c r="Z21" s="1">
        <v>0</v>
      </c>
      <c r="AA21" s="1">
        <v>4.5</v>
      </c>
      <c r="AB21" s="17">
        <f>AVERAGE(Z21:AA21)</f>
        <v>2.25</v>
      </c>
      <c r="AC21">
        <v>4</v>
      </c>
      <c r="AD21" s="29">
        <v>5</v>
      </c>
      <c r="AE21" s="18">
        <f>AVERAGE(AC21:AD21)</f>
        <v>4.5</v>
      </c>
      <c r="AF21" s="29">
        <v>4.5</v>
      </c>
      <c r="AG21" s="27">
        <f>5-(X21*0.5)</f>
        <v>4</v>
      </c>
      <c r="AH21" s="17">
        <f>AVERAGE(AF21:AG21)</f>
        <v>4.25</v>
      </c>
      <c r="AI21" s="20">
        <f>(AH21*$AB$1)+(AE21*$AE$1)+(AB21*$AH$1)</f>
        <v>3.5249999999999999</v>
      </c>
    </row>
    <row r="22" spans="1:35" x14ac:dyDescent="0.25">
      <c r="A22" s="1" t="s">
        <v>91</v>
      </c>
      <c r="B22" s="27" t="s">
        <v>92</v>
      </c>
      <c r="C22" s="27" t="s">
        <v>93</v>
      </c>
      <c r="D22" s="2" t="s">
        <v>33</v>
      </c>
      <c r="E22" s="2"/>
      <c r="F22" s="2" t="s">
        <v>33</v>
      </c>
      <c r="G22" s="2" t="s">
        <v>33</v>
      </c>
      <c r="H22" s="2" t="s">
        <v>33</v>
      </c>
      <c r="I22" s="2"/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/>
      <c r="R22" s="2" t="s">
        <v>33</v>
      </c>
      <c r="S22" s="2" t="s">
        <v>33</v>
      </c>
      <c r="T22" s="2" t="s">
        <v>33</v>
      </c>
      <c r="U22" s="2" t="s">
        <v>33</v>
      </c>
      <c r="V22" s="2" t="s">
        <v>33</v>
      </c>
      <c r="W22" s="2" t="s">
        <v>33</v>
      </c>
      <c r="X22" s="1">
        <v>3</v>
      </c>
      <c r="Y22" s="1"/>
      <c r="Z22" s="1">
        <v>5</v>
      </c>
      <c r="AA22" s="1">
        <v>5</v>
      </c>
      <c r="AB22" s="17">
        <f>AVERAGE(Z22:AA22)</f>
        <v>5</v>
      </c>
      <c r="AC22">
        <v>4.8</v>
      </c>
      <c r="AD22" s="29">
        <v>4.5</v>
      </c>
      <c r="AE22" s="18">
        <f>AVERAGE(AC22:AD22)</f>
        <v>4.6500000000000004</v>
      </c>
      <c r="AF22" s="29">
        <v>4.3</v>
      </c>
      <c r="AG22" s="27">
        <f>5-(X22*0.5)</f>
        <v>3.5</v>
      </c>
      <c r="AH22" s="17">
        <f>AVERAGE(AF22:AG22)</f>
        <v>3.9</v>
      </c>
      <c r="AI22" s="20">
        <f>(AH22*$AB$1)+(AE22*$AE$1)+(AB22*$AH$1)</f>
        <v>4.5649999999999995</v>
      </c>
    </row>
    <row r="23" spans="1:35" x14ac:dyDescent="0.25">
      <c r="A23" s="1" t="s">
        <v>94</v>
      </c>
      <c r="B23" s="27" t="s">
        <v>95</v>
      </c>
      <c r="C23" s="27" t="s">
        <v>96</v>
      </c>
      <c r="D23" s="2" t="s">
        <v>33</v>
      </c>
      <c r="E23" s="2"/>
      <c r="F23" s="2" t="s">
        <v>33</v>
      </c>
      <c r="G23" s="2" t="s">
        <v>33</v>
      </c>
      <c r="H23" s="2" t="s">
        <v>33</v>
      </c>
      <c r="I23" s="2"/>
      <c r="J23" s="2" t="s">
        <v>33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/>
      <c r="R23" s="2" t="s">
        <v>33</v>
      </c>
      <c r="S23" s="2" t="s">
        <v>33</v>
      </c>
      <c r="T23" s="2" t="s">
        <v>33</v>
      </c>
      <c r="U23" s="2" t="s">
        <v>33</v>
      </c>
      <c r="V23" s="2" t="s">
        <v>33</v>
      </c>
      <c r="W23" s="2" t="s">
        <v>33</v>
      </c>
      <c r="X23" s="1">
        <v>3</v>
      </c>
      <c r="Y23" s="1"/>
      <c r="Z23" s="1">
        <v>5</v>
      </c>
      <c r="AA23" s="1">
        <v>4</v>
      </c>
      <c r="AB23" s="17">
        <f>AVERAGE(Z23:AA23)</f>
        <v>4.5</v>
      </c>
      <c r="AC23">
        <v>4.5</v>
      </c>
      <c r="AD23" s="29">
        <v>5</v>
      </c>
      <c r="AE23" s="18">
        <f>AVERAGE(AC23:AD23)</f>
        <v>4.75</v>
      </c>
      <c r="AF23" s="29">
        <v>4.5999999999999996</v>
      </c>
      <c r="AG23" s="27">
        <f>5-(X23*0.5)</f>
        <v>3.5</v>
      </c>
      <c r="AH23" s="17">
        <f>AVERAGE(AF23:AG23)</f>
        <v>4.05</v>
      </c>
      <c r="AI23" s="20">
        <f>(AH23*$AB$1)+(AE23*$AE$1)+(AB23*$AH$1)</f>
        <v>4.4399999999999995</v>
      </c>
    </row>
    <row r="24" spans="1:35" x14ac:dyDescent="0.25">
      <c r="A24" s="1" t="s">
        <v>97</v>
      </c>
      <c r="B24" s="27" t="s">
        <v>98</v>
      </c>
      <c r="C24" s="27" t="s">
        <v>99</v>
      </c>
      <c r="D24" s="2" t="s">
        <v>33</v>
      </c>
      <c r="E24" s="2" t="s">
        <v>33</v>
      </c>
      <c r="F24" s="2"/>
      <c r="G24" s="2"/>
      <c r="H24" s="2" t="s">
        <v>33</v>
      </c>
      <c r="I24" s="2" t="s">
        <v>33</v>
      </c>
      <c r="J24" s="2" t="s">
        <v>33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 t="s">
        <v>33</v>
      </c>
      <c r="W24" s="2" t="s">
        <v>33</v>
      </c>
      <c r="X24" s="1">
        <v>2</v>
      </c>
      <c r="Y24" s="1"/>
      <c r="Z24" s="1">
        <v>5</v>
      </c>
      <c r="AA24" s="1">
        <v>5</v>
      </c>
      <c r="AB24" s="17">
        <f>AVERAGE(Z24:AA24)</f>
        <v>5</v>
      </c>
      <c r="AC24">
        <v>5</v>
      </c>
      <c r="AD24" s="29">
        <v>4.5</v>
      </c>
      <c r="AE24" s="18">
        <f>AVERAGE(AC24:AD24)</f>
        <v>4.75</v>
      </c>
      <c r="AF24" s="29">
        <v>4.5</v>
      </c>
      <c r="AG24" s="27">
        <f>5-(X24*0.5)</f>
        <v>4</v>
      </c>
      <c r="AH24" s="17">
        <f>AVERAGE(AF24:AG24)</f>
        <v>4.25</v>
      </c>
      <c r="AI24" s="20">
        <f>(AH24*$AB$1)+(AE24*$AE$1)+(AB24*$AH$1)</f>
        <v>4.7</v>
      </c>
    </row>
    <row r="25" spans="1:35" x14ac:dyDescent="0.25">
      <c r="A25" s="1" t="s">
        <v>100</v>
      </c>
      <c r="B25" s="27" t="s">
        <v>101</v>
      </c>
      <c r="C25" s="27" t="s">
        <v>102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 t="s">
        <v>33</v>
      </c>
      <c r="K25" s="2" t="s">
        <v>33</v>
      </c>
      <c r="L25" s="2" t="s">
        <v>33</v>
      </c>
      <c r="M25" s="2" t="s">
        <v>33</v>
      </c>
      <c r="N25" s="2" t="s">
        <v>33</v>
      </c>
      <c r="O25" s="3" t="s">
        <v>33</v>
      </c>
      <c r="P25" s="2" t="s">
        <v>33</v>
      </c>
      <c r="Q25" s="2"/>
      <c r="R25" s="2" t="s">
        <v>33</v>
      </c>
      <c r="S25" s="2" t="s">
        <v>33</v>
      </c>
      <c r="T25" s="2" t="s">
        <v>33</v>
      </c>
      <c r="U25" s="2" t="s">
        <v>33</v>
      </c>
      <c r="V25" s="2" t="s">
        <v>33</v>
      </c>
      <c r="W25" s="2" t="s">
        <v>33</v>
      </c>
      <c r="X25" s="1">
        <v>1</v>
      </c>
      <c r="Y25" s="1"/>
      <c r="Z25" s="1">
        <v>5</v>
      </c>
      <c r="AA25" s="1">
        <v>5</v>
      </c>
      <c r="AB25" s="17">
        <f>AVERAGE(Z25:AA25)</f>
        <v>5</v>
      </c>
      <c r="AC25">
        <v>5</v>
      </c>
      <c r="AD25" s="29">
        <v>4.5</v>
      </c>
      <c r="AE25" s="18">
        <f>AVERAGE(AC25:AD25)</f>
        <v>4.75</v>
      </c>
      <c r="AF25" s="29">
        <v>4</v>
      </c>
      <c r="AG25" s="27">
        <f>5-(X25*0.5)</f>
        <v>4.5</v>
      </c>
      <c r="AH25" s="17">
        <f>AVERAGE(AF25:AG25)</f>
        <v>4.25</v>
      </c>
      <c r="AI25" s="20">
        <f>(AH25*$AB$1)+(AE25*$AE$1)+(AB25*$AH$1)</f>
        <v>4.7</v>
      </c>
    </row>
    <row r="26" spans="1:35" x14ac:dyDescent="0.25">
      <c r="A26" s="1" t="s">
        <v>103</v>
      </c>
      <c r="B26" s="27" t="s">
        <v>104</v>
      </c>
      <c r="C26" s="27" t="s">
        <v>105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 t="s">
        <v>33</v>
      </c>
      <c r="K26" s="2" t="s">
        <v>33</v>
      </c>
      <c r="L26" s="2"/>
      <c r="M26" s="2" t="s">
        <v>33</v>
      </c>
      <c r="N26" s="2" t="s">
        <v>33</v>
      </c>
      <c r="O26" s="3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 t="s">
        <v>33</v>
      </c>
      <c r="W26" s="2" t="s">
        <v>33</v>
      </c>
      <c r="X26" s="1">
        <v>1</v>
      </c>
      <c r="Y26" s="1"/>
      <c r="Z26" s="1">
        <v>5</v>
      </c>
      <c r="AA26" s="1">
        <v>4</v>
      </c>
      <c r="AB26" s="17">
        <f>AVERAGE(Z26:AA26)</f>
        <v>4.5</v>
      </c>
      <c r="AC26">
        <v>4.5</v>
      </c>
      <c r="AD26">
        <v>0</v>
      </c>
      <c r="AE26" s="18">
        <f>AVERAGE(AC26:AD26)</f>
        <v>2.25</v>
      </c>
      <c r="AF26">
        <v>0</v>
      </c>
      <c r="AG26" s="27">
        <f>5-(X26*0.5)</f>
        <v>4.5</v>
      </c>
      <c r="AH26" s="17">
        <f>AVERAGE(AF26:AG26)</f>
        <v>2.25</v>
      </c>
      <c r="AI26" s="20">
        <f>(AH26*$AB$1)+(AE26*$AE$1)+(AB26*$AH$1)</f>
        <v>3.15</v>
      </c>
    </row>
    <row r="27" spans="1:35" x14ac:dyDescent="0.25">
      <c r="T27" s="4"/>
    </row>
    <row r="29" spans="1:35" x14ac:dyDescent="0.25">
      <c r="AF29" s="4"/>
    </row>
  </sheetData>
  <autoFilter ref="A1:AI1" xr:uid="{00000000-0001-0000-0000-000000000000}">
    <sortState xmlns:xlrd2="http://schemas.microsoft.com/office/spreadsheetml/2017/richdata2" ref="A2:AI26">
      <sortCondition ref="C1"/>
    </sortState>
  </autoFilter>
  <conditionalFormatting sqref="D2:W26">
    <cfRule type="containsText" dxfId="1" priority="5" operator="containsText" text="x">
      <formula>NOT(ISERROR(SEARCH("x",D2)))</formula>
    </cfRule>
  </conditionalFormatting>
  <conditionalFormatting sqref="Z2:AI26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3"/>
  <sheetViews>
    <sheetView showGridLines="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F11" sqref="AF11"/>
    </sheetView>
  </sheetViews>
  <sheetFormatPr baseColWidth="10" defaultRowHeight="15.75" x14ac:dyDescent="0.25"/>
  <cols>
    <col min="1" max="1" width="34.375" style="7" bestFit="1" customWidth="1"/>
    <col min="2" max="2" width="21.625" style="7" bestFit="1" customWidth="1"/>
    <col min="3" max="3" width="17.125" style="7" bestFit="1" customWidth="1"/>
    <col min="4" max="24" width="4.125" style="7" bestFit="1" customWidth="1"/>
    <col min="25" max="25" width="11" style="7"/>
    <col min="26" max="26" width="4.125" style="7" bestFit="1" customWidth="1"/>
    <col min="27" max="27" width="4.125" style="7" customWidth="1"/>
    <col min="28" max="29" width="4.125" style="7" bestFit="1" customWidth="1"/>
    <col min="30" max="30" width="7.75" style="7" bestFit="1" customWidth="1"/>
    <col min="31" max="31" width="4.125" style="7" bestFit="1" customWidth="1"/>
    <col min="32" max="33" width="4.875" style="7" bestFit="1" customWidth="1"/>
    <col min="34" max="34" width="7.75" style="7" bestFit="1" customWidth="1"/>
    <col min="35" max="16384" width="11" style="7"/>
  </cols>
  <sheetData>
    <row r="1" spans="1:34" ht="178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106</v>
      </c>
      <c r="Z1" s="6" t="s">
        <v>107</v>
      </c>
      <c r="AA1" s="25">
        <v>0.3</v>
      </c>
      <c r="AB1" s="6" t="s">
        <v>108</v>
      </c>
      <c r="AC1" s="8" t="s">
        <v>109</v>
      </c>
      <c r="AD1" s="23">
        <v>0.3</v>
      </c>
      <c r="AE1" s="6" t="s">
        <v>110</v>
      </c>
      <c r="AF1" s="6" t="s">
        <v>24</v>
      </c>
      <c r="AG1" s="23">
        <v>0.4</v>
      </c>
      <c r="AH1" s="22" t="s">
        <v>174</v>
      </c>
    </row>
    <row r="2" spans="1:34" x14ac:dyDescent="0.25">
      <c r="A2" s="9" t="s">
        <v>115</v>
      </c>
      <c r="B2" s="26" t="s">
        <v>116</v>
      </c>
      <c r="C2" s="26" t="s">
        <v>117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/>
      <c r="K2" s="10" t="s">
        <v>33</v>
      </c>
      <c r="L2" s="10" t="s">
        <v>33</v>
      </c>
      <c r="M2" s="10" t="s">
        <v>33</v>
      </c>
      <c r="N2" s="10"/>
      <c r="O2" s="10" t="s">
        <v>33</v>
      </c>
      <c r="P2" s="10" t="s">
        <v>33</v>
      </c>
      <c r="Q2" s="10" t="s">
        <v>33</v>
      </c>
      <c r="R2" s="10" t="s">
        <v>33</v>
      </c>
      <c r="S2" s="10" t="s">
        <v>33</v>
      </c>
      <c r="T2" s="10" t="s">
        <v>33</v>
      </c>
      <c r="U2" s="10" t="s">
        <v>114</v>
      </c>
      <c r="V2" s="10" t="s">
        <v>33</v>
      </c>
      <c r="W2" s="10" t="s">
        <v>33</v>
      </c>
      <c r="X2" s="11">
        <f>COUNTBLANK(D2:W2)</f>
        <v>2</v>
      </c>
      <c r="Z2" s="11">
        <v>5</v>
      </c>
      <c r="AA2" s="24">
        <f>Z2</f>
        <v>5</v>
      </c>
      <c r="AB2" s="11">
        <v>4</v>
      </c>
      <c r="AC2" s="10">
        <v>4</v>
      </c>
      <c r="AD2" s="24">
        <f>AVERAGE(AB2:AC2)</f>
        <v>4</v>
      </c>
      <c r="AE2" s="10">
        <v>4</v>
      </c>
      <c r="AF2" s="11">
        <f>5-(X2*0.45)</f>
        <v>4.0999999999999996</v>
      </c>
      <c r="AG2" s="24">
        <f>AVERAGE(AE2:AF2)</f>
        <v>4.05</v>
      </c>
      <c r="AH2" s="21">
        <f>(AG2*$AA$1)+(AD2*$AD$1)+(AA2*$AG$1)</f>
        <v>4.415</v>
      </c>
    </row>
    <row r="3" spans="1:34" x14ac:dyDescent="0.25">
      <c r="A3" s="9" t="s">
        <v>144</v>
      </c>
      <c r="B3" s="26" t="s">
        <v>95</v>
      </c>
      <c r="C3" s="26" t="s">
        <v>145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114</v>
      </c>
      <c r="V3" s="10" t="s">
        <v>33</v>
      </c>
      <c r="W3" s="10" t="s">
        <v>33</v>
      </c>
      <c r="X3" s="11">
        <f>COUNTBLANK(D3:W3)</f>
        <v>0</v>
      </c>
      <c r="Z3" s="11">
        <v>5</v>
      </c>
      <c r="AA3" s="24">
        <f>Z3</f>
        <v>5</v>
      </c>
      <c r="AB3" s="11">
        <v>4</v>
      </c>
      <c r="AC3" s="11">
        <v>5</v>
      </c>
      <c r="AD3" s="24">
        <f>AVERAGE(AB3:AC3)</f>
        <v>4.5</v>
      </c>
      <c r="AE3" s="10">
        <v>4</v>
      </c>
      <c r="AF3" s="11">
        <f>5-(X3*0.45)</f>
        <v>5</v>
      </c>
      <c r="AG3" s="24">
        <f>AVERAGE(AE3:AF3)</f>
        <v>4.5</v>
      </c>
      <c r="AH3" s="21">
        <f>(AG3*$AA$1)+(AD3*$AD$1)+(AA3*$AG$1)</f>
        <v>4.6999999999999993</v>
      </c>
    </row>
    <row r="4" spans="1:34" x14ac:dyDescent="0.25">
      <c r="A4" s="9" t="s">
        <v>138</v>
      </c>
      <c r="B4" s="26" t="s">
        <v>139</v>
      </c>
      <c r="C4" s="26" t="s">
        <v>140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0" t="s">
        <v>33</v>
      </c>
      <c r="R4" s="10" t="s">
        <v>33</v>
      </c>
      <c r="S4" s="10" t="s">
        <v>33</v>
      </c>
      <c r="T4" s="10" t="s">
        <v>33</v>
      </c>
      <c r="U4" s="10" t="s">
        <v>114</v>
      </c>
      <c r="V4" s="10" t="s">
        <v>33</v>
      </c>
      <c r="W4" s="10" t="s">
        <v>33</v>
      </c>
      <c r="X4" s="11">
        <f>COUNTBLANK(D4:W4)</f>
        <v>0</v>
      </c>
      <c r="Z4" s="11">
        <v>5</v>
      </c>
      <c r="AA4" s="24">
        <f>Z4</f>
        <v>5</v>
      </c>
      <c r="AB4" s="11">
        <v>4</v>
      </c>
      <c r="AC4" s="11">
        <v>4</v>
      </c>
      <c r="AD4" s="24">
        <f>AVERAGE(AB4:AC4)</f>
        <v>4</v>
      </c>
      <c r="AE4" s="11">
        <v>4.5</v>
      </c>
      <c r="AF4" s="11">
        <f>5-(X4*0.45)</f>
        <v>5</v>
      </c>
      <c r="AG4" s="24">
        <f>AVERAGE(AE4:AF4)</f>
        <v>4.75</v>
      </c>
      <c r="AH4" s="21">
        <f>(AG4*$AA$1)+(AD4*$AD$1)+(AA4*$AG$1)</f>
        <v>4.625</v>
      </c>
    </row>
    <row r="5" spans="1:34" x14ac:dyDescent="0.25">
      <c r="A5" s="9" t="s">
        <v>136</v>
      </c>
      <c r="B5" s="26" t="s">
        <v>44</v>
      </c>
      <c r="C5" s="26" t="s">
        <v>137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0" t="s">
        <v>33</v>
      </c>
      <c r="R5" s="10" t="s">
        <v>33</v>
      </c>
      <c r="S5" s="10" t="s">
        <v>33</v>
      </c>
      <c r="T5" s="10" t="s">
        <v>33</v>
      </c>
      <c r="U5" s="10" t="s">
        <v>114</v>
      </c>
      <c r="V5" s="10" t="s">
        <v>33</v>
      </c>
      <c r="W5" s="10" t="s">
        <v>33</v>
      </c>
      <c r="X5" s="11">
        <f>COUNTBLANK(D5:W5)</f>
        <v>0</v>
      </c>
      <c r="Z5" s="11">
        <v>5</v>
      </c>
      <c r="AA5" s="24">
        <f>Z5</f>
        <v>5</v>
      </c>
      <c r="AB5" s="11">
        <v>4</v>
      </c>
      <c r="AC5" s="11">
        <v>4</v>
      </c>
      <c r="AD5" s="24">
        <f>AVERAGE(AB5:AC5)</f>
        <v>4</v>
      </c>
      <c r="AE5" s="11">
        <v>4.5</v>
      </c>
      <c r="AF5" s="11">
        <f>5-(X5*0.45)</f>
        <v>5</v>
      </c>
      <c r="AG5" s="24">
        <f>AVERAGE(AE5:AF5)</f>
        <v>4.75</v>
      </c>
      <c r="AH5" s="21">
        <f>(AG5*$AA$1)+(AD5*$AD$1)+(AA5*$AG$1)</f>
        <v>4.625</v>
      </c>
    </row>
    <row r="6" spans="1:34" x14ac:dyDescent="0.25">
      <c r="A6" s="9" t="s">
        <v>118</v>
      </c>
      <c r="B6" s="13" t="s">
        <v>119</v>
      </c>
      <c r="C6" s="13" t="s">
        <v>120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114</v>
      </c>
      <c r="V6" s="10" t="s">
        <v>33</v>
      </c>
      <c r="W6" s="10" t="s">
        <v>33</v>
      </c>
      <c r="X6" s="11">
        <f>COUNTBLANK(D6:W6)</f>
        <v>0</v>
      </c>
      <c r="Z6" s="11">
        <v>5</v>
      </c>
      <c r="AA6" s="24">
        <f>Z6</f>
        <v>5</v>
      </c>
      <c r="AB6" s="11">
        <v>4</v>
      </c>
      <c r="AC6" s="11">
        <v>4</v>
      </c>
      <c r="AD6" s="24">
        <f>AVERAGE(AB6:AC6)</f>
        <v>4</v>
      </c>
      <c r="AE6" s="11">
        <v>4.5</v>
      </c>
      <c r="AF6" s="11">
        <f>5-(X6*0.45)</f>
        <v>5</v>
      </c>
      <c r="AG6" s="24">
        <f>AVERAGE(AE6:AF6)</f>
        <v>4.75</v>
      </c>
      <c r="AH6" s="21">
        <f>(AG6*$AA$1)+(AD6*$AD$1)+(AA6*$AG$1)</f>
        <v>4.625</v>
      </c>
    </row>
    <row r="7" spans="1:34" x14ac:dyDescent="0.25">
      <c r="A7" s="9" t="s">
        <v>127</v>
      </c>
      <c r="B7" s="13" t="s">
        <v>128</v>
      </c>
      <c r="C7" s="13" t="s">
        <v>129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2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114</v>
      </c>
      <c r="V7" s="10" t="s">
        <v>33</v>
      </c>
      <c r="W7" s="10" t="s">
        <v>33</v>
      </c>
      <c r="X7" s="11">
        <f>COUNTBLANK(D7:W7)</f>
        <v>0</v>
      </c>
      <c r="Z7" s="11">
        <v>5</v>
      </c>
      <c r="AA7" s="24">
        <f>Z7</f>
        <v>5</v>
      </c>
      <c r="AB7" s="11">
        <v>4</v>
      </c>
      <c r="AC7" s="11">
        <v>4</v>
      </c>
      <c r="AD7" s="24">
        <f>AVERAGE(AB7:AC7)</f>
        <v>4</v>
      </c>
      <c r="AE7" s="11">
        <v>4.5</v>
      </c>
      <c r="AF7" s="11">
        <f>5-(X7*0.45)</f>
        <v>5</v>
      </c>
      <c r="AG7" s="24">
        <f>AVERAGE(AE7:AF7)</f>
        <v>4.75</v>
      </c>
      <c r="AH7" s="21">
        <f>(AG7*$AA$1)+(AD7*$AD$1)+(AA7*$AG$1)</f>
        <v>4.625</v>
      </c>
    </row>
    <row r="8" spans="1:34" x14ac:dyDescent="0.25">
      <c r="A8" s="9" t="s">
        <v>155</v>
      </c>
      <c r="B8" s="13" t="s">
        <v>156</v>
      </c>
      <c r="C8" s="13" t="s">
        <v>154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114</v>
      </c>
      <c r="V8" s="10" t="s">
        <v>33</v>
      </c>
      <c r="W8" s="10" t="s">
        <v>33</v>
      </c>
      <c r="X8" s="11">
        <f>COUNTBLANK(D8:W8)</f>
        <v>0</v>
      </c>
      <c r="Z8" s="11">
        <v>5</v>
      </c>
      <c r="AA8" s="24">
        <f>Z8</f>
        <v>5</v>
      </c>
      <c r="AB8" s="11">
        <v>4</v>
      </c>
      <c r="AC8" s="11">
        <v>4</v>
      </c>
      <c r="AD8" s="24">
        <f>AVERAGE(AB8:AC8)</f>
        <v>4</v>
      </c>
      <c r="AE8" s="11">
        <v>4.5</v>
      </c>
      <c r="AF8" s="11">
        <f>5-(X8*0.45)</f>
        <v>5</v>
      </c>
      <c r="AG8" s="24">
        <f>AVERAGE(AE8:AF8)</f>
        <v>4.75</v>
      </c>
      <c r="AH8" s="21">
        <f>(AG8*$AA$1)+(AD8*$AD$1)+(AA8*$AG$1)</f>
        <v>4.625</v>
      </c>
    </row>
    <row r="9" spans="1:34" x14ac:dyDescent="0.25">
      <c r="A9" s="9" t="s">
        <v>124</v>
      </c>
      <c r="B9" s="26" t="s">
        <v>125</v>
      </c>
      <c r="C9" s="26" t="s">
        <v>126</v>
      </c>
      <c r="D9" s="10" t="s">
        <v>33</v>
      </c>
      <c r="E9" s="10" t="s">
        <v>33</v>
      </c>
      <c r="F9" s="10" t="s">
        <v>33</v>
      </c>
      <c r="G9" s="10" t="s">
        <v>33</v>
      </c>
      <c r="H9" s="10"/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114</v>
      </c>
      <c r="V9" s="10" t="s">
        <v>33</v>
      </c>
      <c r="W9" s="10" t="s">
        <v>33</v>
      </c>
      <c r="X9" s="11">
        <f>COUNTBLANK(D9:W9)</f>
        <v>1</v>
      </c>
      <c r="Z9" s="11">
        <v>5</v>
      </c>
      <c r="AA9" s="24">
        <f>Z9</f>
        <v>5</v>
      </c>
      <c r="AB9" s="11">
        <v>4</v>
      </c>
      <c r="AC9" s="11">
        <v>4.5</v>
      </c>
      <c r="AD9" s="24">
        <f>AVERAGE(AB9:AC9)</f>
        <v>4.25</v>
      </c>
      <c r="AE9" s="11">
        <v>4.5</v>
      </c>
      <c r="AF9" s="11">
        <f>5-(X9*0.45)</f>
        <v>4.55</v>
      </c>
      <c r="AG9" s="24">
        <f>AVERAGE(AE9:AF9)</f>
        <v>4.5250000000000004</v>
      </c>
      <c r="AH9" s="21">
        <f>(AG9*$AA$1)+(AD9*$AD$1)+(AA9*$AG$1)</f>
        <v>4.6325000000000003</v>
      </c>
    </row>
    <row r="10" spans="1:34" x14ac:dyDescent="0.25">
      <c r="A10" s="9" t="s">
        <v>169</v>
      </c>
      <c r="B10" s="26" t="s">
        <v>170</v>
      </c>
      <c r="C10" s="26" t="s">
        <v>171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114</v>
      </c>
      <c r="V10" s="10" t="s">
        <v>33</v>
      </c>
      <c r="W10" s="10" t="s">
        <v>33</v>
      </c>
      <c r="X10" s="11">
        <f>COUNTBLANK(D10:W10)</f>
        <v>0</v>
      </c>
      <c r="Z10" s="11">
        <v>5</v>
      </c>
      <c r="AA10" s="24">
        <f>Z10</f>
        <v>5</v>
      </c>
      <c r="AB10" s="11">
        <v>4.5</v>
      </c>
      <c r="AC10" s="11">
        <v>4.5</v>
      </c>
      <c r="AD10" s="24">
        <f>AVERAGE(AB10:AC10)</f>
        <v>4.5</v>
      </c>
      <c r="AE10" s="11">
        <v>4.5</v>
      </c>
      <c r="AF10" s="11">
        <f>5-(X10*0.45)</f>
        <v>5</v>
      </c>
      <c r="AG10" s="24">
        <f>AVERAGE(AE10:AF10)</f>
        <v>4.75</v>
      </c>
      <c r="AH10" s="21">
        <f>(AG10*$AA$1)+(AD10*$AD$1)+(AA10*$AG$1)</f>
        <v>4.7750000000000004</v>
      </c>
    </row>
    <row r="11" spans="1:34" x14ac:dyDescent="0.25">
      <c r="A11" s="9" t="s">
        <v>121</v>
      </c>
      <c r="B11" s="26" t="s">
        <v>122</v>
      </c>
      <c r="C11" s="26" t="s">
        <v>123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114</v>
      </c>
      <c r="V11" s="10" t="s">
        <v>33</v>
      </c>
      <c r="W11" s="10" t="s">
        <v>33</v>
      </c>
      <c r="X11" s="11">
        <f>COUNTBLANK(D11:W11)</f>
        <v>0</v>
      </c>
      <c r="Z11" s="11">
        <v>5</v>
      </c>
      <c r="AA11" s="24">
        <f>Z11</f>
        <v>5</v>
      </c>
      <c r="AB11" s="11">
        <v>5</v>
      </c>
      <c r="AC11" s="11">
        <v>4.5</v>
      </c>
      <c r="AD11" s="24">
        <f>AVERAGE(AB11:AC11)</f>
        <v>4.75</v>
      </c>
      <c r="AE11" s="11">
        <v>4.5</v>
      </c>
      <c r="AF11" s="11">
        <f>5-(X11*0.45)</f>
        <v>5</v>
      </c>
      <c r="AG11" s="24">
        <f>AVERAGE(AE11:AF11)</f>
        <v>4.75</v>
      </c>
      <c r="AH11" s="21">
        <f>(AG11*$AA$1)+(AD11*$AD$1)+(AA11*$AG$1)</f>
        <v>4.8499999999999996</v>
      </c>
    </row>
    <row r="12" spans="1:34" x14ac:dyDescent="0.25">
      <c r="A12" s="9" t="s">
        <v>157</v>
      </c>
      <c r="B12" s="26" t="s">
        <v>158</v>
      </c>
      <c r="C12" s="26" t="s">
        <v>159</v>
      </c>
      <c r="D12" s="10" t="s">
        <v>33</v>
      </c>
      <c r="E12" s="10" t="s">
        <v>33</v>
      </c>
      <c r="F12" s="10"/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114</v>
      </c>
      <c r="T12" s="10" t="s">
        <v>33</v>
      </c>
      <c r="U12" s="10" t="s">
        <v>114</v>
      </c>
      <c r="V12" s="10" t="s">
        <v>33</v>
      </c>
      <c r="W12" s="10" t="s">
        <v>33</v>
      </c>
      <c r="X12" s="11">
        <f>COUNTBLANK(D12:W12)</f>
        <v>1</v>
      </c>
      <c r="Z12" s="11">
        <v>5</v>
      </c>
      <c r="AA12" s="24">
        <f>Z12</f>
        <v>5</v>
      </c>
      <c r="AB12" s="11">
        <v>5</v>
      </c>
      <c r="AC12" s="11">
        <v>4.5</v>
      </c>
      <c r="AD12" s="24">
        <f>AVERAGE(AB12:AC12)</f>
        <v>4.75</v>
      </c>
      <c r="AE12" s="11">
        <v>4.5</v>
      </c>
      <c r="AF12" s="11">
        <f>5-(X12*0.45)</f>
        <v>4.55</v>
      </c>
      <c r="AG12" s="24">
        <f>AVERAGE(AE12:AF12)</f>
        <v>4.5250000000000004</v>
      </c>
      <c r="AH12" s="21">
        <f>(AG12*$AA$1)+(AD12*$AD$1)+(AA12*$AG$1)</f>
        <v>4.7825000000000006</v>
      </c>
    </row>
    <row r="13" spans="1:34" x14ac:dyDescent="0.25">
      <c r="A13" s="9" t="s">
        <v>152</v>
      </c>
      <c r="B13" s="26" t="s">
        <v>153</v>
      </c>
      <c r="C13" s="26" t="s">
        <v>154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114</v>
      </c>
      <c r="V13" s="10" t="s">
        <v>33</v>
      </c>
      <c r="W13" s="10" t="s">
        <v>33</v>
      </c>
      <c r="X13" s="11">
        <f>COUNTBLANK(D13:W13)</f>
        <v>0</v>
      </c>
      <c r="Z13" s="11">
        <v>5</v>
      </c>
      <c r="AA13" s="24">
        <f>Z13</f>
        <v>5</v>
      </c>
      <c r="AB13" s="11">
        <v>5</v>
      </c>
      <c r="AC13" s="11">
        <v>4.5</v>
      </c>
      <c r="AD13" s="24">
        <f>AVERAGE(AB13:AC13)</f>
        <v>4.75</v>
      </c>
      <c r="AE13" s="11">
        <v>4.5</v>
      </c>
      <c r="AF13" s="11">
        <f>5-(X13*0.45)</f>
        <v>5</v>
      </c>
      <c r="AG13" s="24">
        <f>AVERAGE(AE13:AF13)</f>
        <v>4.75</v>
      </c>
      <c r="AH13" s="21">
        <f>(AG13*$AA$1)+(AD13*$AD$1)+(AA13*$AG$1)</f>
        <v>4.8499999999999996</v>
      </c>
    </row>
    <row r="14" spans="1:34" x14ac:dyDescent="0.25">
      <c r="A14" s="9" t="s">
        <v>163</v>
      </c>
      <c r="B14" s="26" t="s">
        <v>164</v>
      </c>
      <c r="C14" s="26" t="s">
        <v>165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/>
      <c r="M14" s="10" t="s">
        <v>33</v>
      </c>
      <c r="N14" s="10" t="s">
        <v>33</v>
      </c>
      <c r="O14" s="10" t="s">
        <v>33</v>
      </c>
      <c r="P14" s="10" t="s">
        <v>33</v>
      </c>
      <c r="Q14" s="10" t="s">
        <v>33</v>
      </c>
      <c r="R14" s="10" t="s">
        <v>33</v>
      </c>
      <c r="S14" s="10" t="s">
        <v>33</v>
      </c>
      <c r="T14" s="10" t="s">
        <v>33</v>
      </c>
      <c r="U14" s="10"/>
      <c r="V14" s="10" t="s">
        <v>33</v>
      </c>
      <c r="W14" s="10" t="s">
        <v>33</v>
      </c>
      <c r="X14" s="11">
        <f>COUNTBLANK(D14:W14)</f>
        <v>2</v>
      </c>
      <c r="Z14" s="11">
        <v>5</v>
      </c>
      <c r="AA14" s="24">
        <f>Z14</f>
        <v>5</v>
      </c>
      <c r="AB14" s="11">
        <v>4</v>
      </c>
      <c r="AC14" s="11">
        <v>4.8</v>
      </c>
      <c r="AD14" s="24">
        <f>AVERAGE(AB14:AC14)</f>
        <v>4.4000000000000004</v>
      </c>
      <c r="AE14" s="11">
        <v>4.5</v>
      </c>
      <c r="AF14" s="11">
        <f>5-(X14*0.45)</f>
        <v>4.0999999999999996</v>
      </c>
      <c r="AG14" s="24">
        <f>AVERAGE(AE14:AF14)</f>
        <v>4.3</v>
      </c>
      <c r="AH14" s="21">
        <f>(AG14*$AA$1)+(AD14*$AD$1)+(AA14*$AG$1)</f>
        <v>4.6099999999999994</v>
      </c>
    </row>
    <row r="15" spans="1:34" x14ac:dyDescent="0.25">
      <c r="A15" s="9" t="s">
        <v>149</v>
      </c>
      <c r="B15" s="26" t="s">
        <v>150</v>
      </c>
      <c r="C15" s="26" t="s">
        <v>151</v>
      </c>
      <c r="D15" s="10" t="s">
        <v>33</v>
      </c>
      <c r="E15" s="10"/>
      <c r="F15" s="10" t="s">
        <v>33</v>
      </c>
      <c r="G15" s="10" t="s">
        <v>33</v>
      </c>
      <c r="H15" s="10"/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/>
      <c r="P15" s="10" t="s">
        <v>33</v>
      </c>
      <c r="Q15" s="10" t="s">
        <v>33</v>
      </c>
      <c r="R15" s="10" t="s">
        <v>33</v>
      </c>
      <c r="S15" s="10" t="s">
        <v>114</v>
      </c>
      <c r="T15" s="10" t="s">
        <v>33</v>
      </c>
      <c r="U15" s="10" t="s">
        <v>114</v>
      </c>
      <c r="V15" s="10" t="s">
        <v>33</v>
      </c>
      <c r="W15" s="10" t="s">
        <v>33</v>
      </c>
      <c r="X15" s="11">
        <f>COUNTBLANK(D15:W15)</f>
        <v>3</v>
      </c>
      <c r="Z15" s="11">
        <v>5</v>
      </c>
      <c r="AA15" s="24">
        <f>Z15</f>
        <v>5</v>
      </c>
      <c r="AB15" s="11">
        <v>4.5</v>
      </c>
      <c r="AC15" s="11">
        <v>5</v>
      </c>
      <c r="AD15" s="24">
        <f>AVERAGE(AB15:AC15)</f>
        <v>4.75</v>
      </c>
      <c r="AE15" s="11">
        <v>4.5</v>
      </c>
      <c r="AF15" s="11">
        <f>5-(X15*0.45)</f>
        <v>3.65</v>
      </c>
      <c r="AG15" s="24">
        <f>AVERAGE(AE15:AF15)</f>
        <v>4.0750000000000002</v>
      </c>
      <c r="AH15" s="21">
        <f>(AG15*$AA$1)+(AD15*$AD$1)+(AA15*$AG$1)</f>
        <v>4.6475</v>
      </c>
    </row>
    <row r="16" spans="1:34" x14ac:dyDescent="0.25">
      <c r="A16" s="9" t="s">
        <v>160</v>
      </c>
      <c r="B16" s="26" t="s">
        <v>161</v>
      </c>
      <c r="C16" s="26" t="s">
        <v>162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114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114</v>
      </c>
      <c r="V16" s="10" t="s">
        <v>33</v>
      </c>
      <c r="W16" s="10" t="s">
        <v>33</v>
      </c>
      <c r="X16" s="11">
        <f>COUNTBLANK(D16:W16)</f>
        <v>0</v>
      </c>
      <c r="Z16" s="11">
        <v>5</v>
      </c>
      <c r="AA16" s="24">
        <f>Z16</f>
        <v>5</v>
      </c>
      <c r="AB16" s="11">
        <v>4.5</v>
      </c>
      <c r="AC16" s="11">
        <v>5</v>
      </c>
      <c r="AD16" s="24">
        <f>AVERAGE(AB16:AC16)</f>
        <v>4.75</v>
      </c>
      <c r="AE16" s="11">
        <v>4.8</v>
      </c>
      <c r="AF16" s="11">
        <f>5-(X16*0.45)</f>
        <v>5</v>
      </c>
      <c r="AG16" s="24">
        <f>AVERAGE(AE16:AF16)</f>
        <v>4.9000000000000004</v>
      </c>
      <c r="AH16" s="21">
        <f>(AG16*$AA$1)+(AD16*$AD$1)+(AA16*$AG$1)</f>
        <v>4.8949999999999996</v>
      </c>
    </row>
    <row r="17" spans="1:34" x14ac:dyDescent="0.25">
      <c r="A17" s="9"/>
      <c r="B17" s="26" t="s">
        <v>172</v>
      </c>
      <c r="C17" s="26" t="s">
        <v>173</v>
      </c>
      <c r="D17" s="10"/>
      <c r="E17" s="10"/>
      <c r="F17" s="10"/>
      <c r="G17" s="10"/>
      <c r="H17" s="10"/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1">
        <f>COUNTBLANK(I17:W17)</f>
        <v>0</v>
      </c>
      <c r="Z17" s="11">
        <v>5</v>
      </c>
      <c r="AA17" s="24">
        <f>Z17</f>
        <v>5</v>
      </c>
      <c r="AB17" s="11">
        <v>4</v>
      </c>
      <c r="AC17" s="11">
        <v>4.5</v>
      </c>
      <c r="AD17" s="24">
        <f>AVERAGE(AB17:AC17)</f>
        <v>4.25</v>
      </c>
      <c r="AE17" s="11">
        <v>5</v>
      </c>
      <c r="AF17" s="11">
        <f>5-(X17*0.45)</f>
        <v>5</v>
      </c>
      <c r="AG17" s="24">
        <f>AVERAGE(AE17:AF17)</f>
        <v>5</v>
      </c>
      <c r="AH17" s="21">
        <f>(AG17*$AA$1)+(AD17*$AD$1)+(AA17*$AG$1)</f>
        <v>4.7750000000000004</v>
      </c>
    </row>
    <row r="18" spans="1:34" x14ac:dyDescent="0.25">
      <c r="A18" s="9" t="s">
        <v>111</v>
      </c>
      <c r="B18" s="26" t="s">
        <v>112</v>
      </c>
      <c r="C18" s="26" t="s">
        <v>113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/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114</v>
      </c>
      <c r="V18" s="10" t="s">
        <v>33</v>
      </c>
      <c r="W18" s="10" t="s">
        <v>33</v>
      </c>
      <c r="X18" s="11">
        <f>COUNTBLANK(D18:W18)</f>
        <v>1</v>
      </c>
      <c r="Z18" s="11">
        <v>5</v>
      </c>
      <c r="AA18" s="24">
        <f>Z18</f>
        <v>5</v>
      </c>
      <c r="AB18" s="11">
        <v>3.5</v>
      </c>
      <c r="AC18" s="11">
        <v>5</v>
      </c>
      <c r="AD18" s="24">
        <f>AVERAGE(AB18:AC18)</f>
        <v>4.25</v>
      </c>
      <c r="AE18" s="12">
        <v>5</v>
      </c>
      <c r="AF18" s="11">
        <f>5-(X18*0.45)</f>
        <v>4.55</v>
      </c>
      <c r="AG18" s="24">
        <f>AVERAGE(AE18:AF18)</f>
        <v>4.7750000000000004</v>
      </c>
      <c r="AH18" s="21">
        <f>(AG18*$AA$1)+(AD18*$AD$1)+(AA18*$AG$1)</f>
        <v>4.7074999999999996</v>
      </c>
    </row>
    <row r="19" spans="1:34" x14ac:dyDescent="0.25">
      <c r="A19" s="9" t="s">
        <v>133</v>
      </c>
      <c r="B19" s="26" t="s">
        <v>134</v>
      </c>
      <c r="C19" s="26" t="s">
        <v>135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10" t="s">
        <v>33</v>
      </c>
      <c r="R19" s="10" t="s">
        <v>33</v>
      </c>
      <c r="S19" s="10" t="s">
        <v>33</v>
      </c>
      <c r="T19" s="10" t="s">
        <v>33</v>
      </c>
      <c r="U19" s="10" t="s">
        <v>114</v>
      </c>
      <c r="V19" s="10" t="s">
        <v>33</v>
      </c>
      <c r="W19" s="10" t="s">
        <v>33</v>
      </c>
      <c r="X19" s="11">
        <f>COUNTBLANK(D19:W19)</f>
        <v>0</v>
      </c>
      <c r="Z19" s="11">
        <v>5</v>
      </c>
      <c r="AA19" s="24">
        <f>Z19</f>
        <v>5</v>
      </c>
      <c r="AB19" s="11">
        <v>5</v>
      </c>
      <c r="AC19" s="11">
        <v>5</v>
      </c>
      <c r="AD19" s="24">
        <f>AVERAGE(AB19:AC19)</f>
        <v>5</v>
      </c>
      <c r="AE19" s="11">
        <v>5</v>
      </c>
      <c r="AF19" s="11">
        <f>5-(X19*0.45)</f>
        <v>5</v>
      </c>
      <c r="AG19" s="24">
        <f>AVERAGE(AE19:AF19)</f>
        <v>5</v>
      </c>
      <c r="AH19" s="21">
        <f>(AG19*$AA$1)+(AD19*$AD$1)+(AA19*$AG$1)</f>
        <v>5</v>
      </c>
    </row>
    <row r="20" spans="1:34" x14ac:dyDescent="0.25">
      <c r="A20" s="9" t="s">
        <v>166</v>
      </c>
      <c r="B20" s="26" t="s">
        <v>167</v>
      </c>
      <c r="C20" s="26" t="s">
        <v>168</v>
      </c>
      <c r="D20" s="10" t="s">
        <v>33</v>
      </c>
      <c r="E20" s="10" t="s">
        <v>33</v>
      </c>
      <c r="F20" s="10" t="s">
        <v>33</v>
      </c>
      <c r="G20" s="10"/>
      <c r="H20" s="10" t="s">
        <v>33</v>
      </c>
      <c r="I20" s="10" t="s">
        <v>33</v>
      </c>
      <c r="J20" s="10" t="s">
        <v>33</v>
      </c>
      <c r="K20" s="10" t="s">
        <v>33</v>
      </c>
      <c r="L20" s="10"/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114</v>
      </c>
      <c r="V20" s="10" t="s">
        <v>33</v>
      </c>
      <c r="W20" s="10" t="s">
        <v>33</v>
      </c>
      <c r="X20" s="11">
        <f>COUNTBLANK(D20:W20)</f>
        <v>2</v>
      </c>
      <c r="Z20" s="11">
        <v>0</v>
      </c>
      <c r="AA20" s="24">
        <f>Z20</f>
        <v>0</v>
      </c>
      <c r="AB20" s="11">
        <v>4.8</v>
      </c>
      <c r="AC20" s="11">
        <v>5</v>
      </c>
      <c r="AD20" s="24">
        <f>AVERAGE(AB20:AC20)</f>
        <v>4.9000000000000004</v>
      </c>
      <c r="AE20" s="11">
        <v>5</v>
      </c>
      <c r="AF20" s="11">
        <f>5-(X20*0.45)</f>
        <v>4.0999999999999996</v>
      </c>
      <c r="AG20" s="24">
        <f>AVERAGE(AE20:AF20)</f>
        <v>4.55</v>
      </c>
      <c r="AH20" s="21">
        <f>(AG20*$AA$1)+(AD20*$AD$1)+(AA20*$AG$1)</f>
        <v>2.835</v>
      </c>
    </row>
    <row r="21" spans="1:34" x14ac:dyDescent="0.25">
      <c r="A21" s="9" t="s">
        <v>146</v>
      </c>
      <c r="B21" s="26" t="s">
        <v>147</v>
      </c>
      <c r="C21" s="26" t="s">
        <v>148</v>
      </c>
      <c r="D21" s="10" t="s">
        <v>33</v>
      </c>
      <c r="E21" s="10" t="s">
        <v>33</v>
      </c>
      <c r="F21" s="10" t="s">
        <v>33</v>
      </c>
      <c r="G21" s="10"/>
      <c r="H21" s="10"/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10" t="s">
        <v>33</v>
      </c>
      <c r="R21" s="10" t="s">
        <v>33</v>
      </c>
      <c r="S21" s="10" t="s">
        <v>33</v>
      </c>
      <c r="T21" s="10" t="s">
        <v>33</v>
      </c>
      <c r="U21" s="10" t="s">
        <v>114</v>
      </c>
      <c r="V21" s="10" t="s">
        <v>33</v>
      </c>
      <c r="W21" s="10" t="s">
        <v>33</v>
      </c>
      <c r="X21" s="11">
        <f>COUNTBLANK(D21:W21)</f>
        <v>2</v>
      </c>
      <c r="Z21" s="11">
        <v>0</v>
      </c>
      <c r="AA21" s="24">
        <f>Z21</f>
        <v>0</v>
      </c>
      <c r="AB21" s="11">
        <v>4</v>
      </c>
      <c r="AC21" s="11"/>
      <c r="AD21" s="24">
        <f>AVERAGE(AB21:AC21)</f>
        <v>4</v>
      </c>
      <c r="AE21" s="11"/>
      <c r="AF21" s="11">
        <f>5-(X21*0.45)</f>
        <v>4.0999999999999996</v>
      </c>
      <c r="AG21" s="24">
        <f>AVERAGE(AE21:AF21)</f>
        <v>4.0999999999999996</v>
      </c>
      <c r="AH21" s="21">
        <f>(AG21*$AA$1)+(AD21*$AD$1)+(AA21*$AG$1)</f>
        <v>2.4299999999999997</v>
      </c>
    </row>
    <row r="22" spans="1:34" x14ac:dyDescent="0.25">
      <c r="A22" s="9" t="s">
        <v>130</v>
      </c>
      <c r="B22" s="26" t="s">
        <v>131</v>
      </c>
      <c r="C22" s="26" t="s">
        <v>132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/>
      <c r="M22" s="10" t="s">
        <v>33</v>
      </c>
      <c r="N22" s="10" t="s">
        <v>33</v>
      </c>
      <c r="O22" s="10"/>
      <c r="P22" s="10" t="s">
        <v>33</v>
      </c>
      <c r="Q22" s="10" t="s">
        <v>33</v>
      </c>
      <c r="R22" s="10" t="s">
        <v>33</v>
      </c>
      <c r="S22" s="10"/>
      <c r="T22" s="10" t="s">
        <v>33</v>
      </c>
      <c r="U22" s="10" t="s">
        <v>114</v>
      </c>
      <c r="V22" s="10" t="s">
        <v>33</v>
      </c>
      <c r="W22" s="10" t="s">
        <v>33</v>
      </c>
      <c r="X22" s="11">
        <f>COUNTBLANK(D22:W22)</f>
        <v>3</v>
      </c>
      <c r="Z22" s="11">
        <v>5</v>
      </c>
      <c r="AA22" s="24">
        <f>Z22</f>
        <v>5</v>
      </c>
      <c r="AB22" s="11">
        <v>4</v>
      </c>
      <c r="AC22" s="11">
        <v>4.5</v>
      </c>
      <c r="AD22" s="24">
        <f>AVERAGE(AB22:AC22)</f>
        <v>4.25</v>
      </c>
      <c r="AE22" s="11">
        <v>4.5</v>
      </c>
      <c r="AF22" s="11">
        <f>5-(X22*0.45)</f>
        <v>3.65</v>
      </c>
      <c r="AG22" s="24">
        <f>AVERAGE(AE22:AF22)</f>
        <v>4.0750000000000002</v>
      </c>
      <c r="AH22" s="21">
        <f>(AG22*$AA$1)+(AD22*$AD$1)+(AA22*$AG$1)</f>
        <v>4.4974999999999996</v>
      </c>
    </row>
    <row r="23" spans="1:34" x14ac:dyDescent="0.25">
      <c r="A23" s="9" t="s">
        <v>141</v>
      </c>
      <c r="B23" s="26" t="s">
        <v>142</v>
      </c>
      <c r="C23" s="26" t="s">
        <v>143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/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10" t="s">
        <v>33</v>
      </c>
      <c r="R23" s="10" t="s">
        <v>33</v>
      </c>
      <c r="S23" s="10" t="s">
        <v>33</v>
      </c>
      <c r="T23" s="10" t="s">
        <v>33</v>
      </c>
      <c r="U23" s="10" t="s">
        <v>114</v>
      </c>
      <c r="V23" s="10" t="s">
        <v>33</v>
      </c>
      <c r="W23" s="10" t="s">
        <v>33</v>
      </c>
      <c r="X23" s="11">
        <f>COUNTBLANK(D23:W23)</f>
        <v>1</v>
      </c>
      <c r="Z23" s="11">
        <v>5</v>
      </c>
      <c r="AA23" s="24">
        <f>Z23</f>
        <v>5</v>
      </c>
      <c r="AB23" s="11"/>
      <c r="AC23" s="11"/>
      <c r="AD23" s="24" t="e">
        <f>AVERAGE(AB23:AC23)</f>
        <v>#DIV/0!</v>
      </c>
      <c r="AE23" s="11"/>
      <c r="AF23" s="11">
        <f>5-(X23*0.45)</f>
        <v>4.55</v>
      </c>
      <c r="AG23" s="24">
        <f>AVERAGE(AE23:AF23)</f>
        <v>4.55</v>
      </c>
      <c r="AH23" s="21" t="e">
        <f>(AG23*$AA$1)+(AD23*$AD$1)+(AA23*$AG$1)</f>
        <v>#DIV/0!</v>
      </c>
    </row>
  </sheetData>
  <autoFilter ref="A1:AH1" xr:uid="{00000000-0001-0000-0100-000000000000}"/>
  <conditionalFormatting sqref="D2:W23">
    <cfRule type="cellIs" dxfId="3" priority="3" operator="equal">
      <formula>"x"</formula>
    </cfRule>
  </conditionalFormatting>
  <conditionalFormatting sqref="Z2:AH23">
    <cfRule type="cellIs" dxfId="2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Pruebas_software</vt:lpstr>
      <vt:lpstr>Lenguajes_ultima_g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Alejandro Burbano Mena</cp:lastModifiedBy>
  <dcterms:created xsi:type="dcterms:W3CDTF">2026-05-03T17:57:26Z</dcterms:created>
  <dcterms:modified xsi:type="dcterms:W3CDTF">2026-05-04T02:07:29Z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2026-05-03T17:54:29Z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4d29aa37-fd53-4850-8a38-6638594d95c4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